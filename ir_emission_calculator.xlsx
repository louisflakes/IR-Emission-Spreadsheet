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 Calculator" sheetId="1" state="visible" r:id="rId3"/>
    <sheet name="Integration" sheetId="2" state="visible" r:id="rId4"/>
    <sheet name="Comparison" sheetId="3" state="visible" r:id="rId5"/>
  </sheets>
  <definedNames>
    <definedName function="false" hidden="false" name="IntStep_B" vbProcedure="false">Integration!$E$11:$E$510</definedName>
    <definedName function="false" hidden="false" name="IntStep_dL" vbProcedure="false">Integration!$D$11:$D$510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<sst xmlns="http://schemas.openxmlformats.org/spreadsheetml/2006/main" count="101" uniqueCount="89">
  <si>
    <t xml:space="preserve">Radiometric IR Emission Calculator  |  Planck / Stefan-Boltzmann</t>
  </si>
  <si>
    <t xml:space="preserve">Physical Constants  (do not modify)</t>
  </si>
  <si>
    <t xml:space="preserve">h  — Planck constant</t>
  </si>
  <si>
    <t xml:space="preserve">J·s</t>
  </si>
  <si>
    <t xml:space="preserve">c  — Speed of light</t>
  </si>
  <si>
    <t xml:space="preserve">m/s</t>
  </si>
  <si>
    <t xml:space="preserve">k  — Boltzmann constant</t>
  </si>
  <si>
    <t xml:space="preserve">J/K</t>
  </si>
  <si>
    <t xml:space="preserve">σ  — Stefan-Boltzmann const</t>
  </si>
  <si>
    <t xml:space="preserve">W/m²K⁴</t>
  </si>
  <si>
    <t xml:space="preserve">Inputs  (blue = editable)</t>
  </si>
  <si>
    <t xml:space="preserve">Temperature</t>
  </si>
  <si>
    <t xml:space="preserve">°C</t>
  </si>
  <si>
    <t xml:space="preserve">Object surface temperature in Celsius</t>
  </si>
  <si>
    <t xml:space="preserve">Surface Area</t>
  </si>
  <si>
    <t xml:space="preserve">m²</t>
  </si>
  <si>
    <t xml:space="preserve">Total radiating surface area (m²). E.g. 1-gal sphere ≈ 0.117 m²</t>
  </si>
  <si>
    <t xml:space="preserve">Emissivity  ε</t>
  </si>
  <si>
    <t xml:space="preserve">—</t>
  </si>
  <si>
    <t xml:space="preserve">0 = perfect reflector · 1 = blackbody  (water ≈ 0.96, Al polished ≈ 0.05)</t>
  </si>
  <si>
    <t xml:space="preserve">λ₁  Band start</t>
  </si>
  <si>
    <t xml:space="preserve">µm</t>
  </si>
  <si>
    <t xml:space="preserve">Short-wavelength edge of spectral band of interest</t>
  </si>
  <si>
    <t xml:space="preserve">λ₂  Band end</t>
  </si>
  <si>
    <t xml:space="preserve">Long-wavelength edge of spectral band of interest</t>
  </si>
  <si>
    <t xml:space="preserve">Integration steps N</t>
  </si>
  <si>
    <t xml:space="preserve">Steps for numerical Planck integral (100–500; 500 is plenty accurate)</t>
  </si>
  <si>
    <t xml:space="preserve">Derived Quantities</t>
  </si>
  <si>
    <t xml:space="preserve">Temperature  T</t>
  </si>
  <si>
    <t xml:space="preserve">K</t>
  </si>
  <si>
    <t xml:space="preserve">Converted from °C</t>
  </si>
  <si>
    <t xml:space="preserve">Peak wavelength  λ_peak</t>
  </si>
  <si>
    <t xml:space="preserve">Wien displacement: λ_peak = 2897.8 / T(K)</t>
  </si>
  <si>
    <t xml:space="preserve">Total radiated power  P_total</t>
  </si>
  <si>
    <t xml:space="preserve">W</t>
  </si>
  <si>
    <t xml:space="preserve">ε · σ · T⁴ · A   (all wavelengths, Stefan-Boltzmann)</t>
  </si>
  <si>
    <t xml:space="preserve">Band-Integrated Results  (Planck numerical integration — see 'Integration' sheet)</t>
  </si>
  <si>
    <t xml:space="preserve">P_band  (W in band)</t>
  </si>
  <si>
    <t xml:space="preserve">Power emitted in [λ₁, λ₂] spectral band</t>
  </si>
  <si>
    <t xml:space="preserve">Band fraction</t>
  </si>
  <si>
    <t xml:space="preserve">%</t>
  </si>
  <si>
    <t xml:space="preserve">P_band / P_total</t>
  </si>
  <si>
    <t xml:space="preserve">Band irradiance</t>
  </si>
  <si>
    <t xml:space="preserve">W/m²</t>
  </si>
  <si>
    <t xml:space="preserve">P_band / A   (band power per unit area)</t>
  </si>
  <si>
    <t xml:space="preserve">Spectral radiance λ_peak</t>
  </si>
  <si>
    <t xml:space="preserve">W/m²sr·µm</t>
  </si>
  <si>
    <t xml:space="preserve">Planck spectral radiance at peak wavelength</t>
  </si>
  <si>
    <t xml:space="preserve">Notes &amp; Assumptions
• Calculations assume thermal equilibrium and grey-body emission (uniform ε across band).
• Surface area is the key size parameter — not mass or volume directly.
• Planck integral uses midpoint rule: B(λ_mid,T)·Δλ summed over N steps per the Integration sheet.
• Emissivity reference values: water ≈ 0.96 · human skin ≈ 0.97 · painted surfaces ≈ 0.90–0.95 · polished Al ≈ 0.05.
• The 8–10 µm band is within the atmospheric transmission window used by thermal infrared cameras.</t>
  </si>
  <si>
    <t xml:space="preserve">Planck Band Integration — Midpoint Rule</t>
  </si>
  <si>
    <t xml:space="preserve">P_band  (W)</t>
  </si>
  <si>
    <t xml:space="preserve">Band irradiance W/m²</t>
  </si>
  <si>
    <t xml:space="preserve">Radiance at λ_peak  W/m²sr·µm</t>
  </si>
  <si>
    <t xml:space="preserve">Step i</t>
  </si>
  <si>
    <t xml:space="preserve">λ_mid  (µm)</t>
  </si>
  <si>
    <t xml:space="preserve">Δλ  (µm)</t>
  </si>
  <si>
    <t xml:space="preserve">B(λ,T)  W/m²/sr/µm</t>
  </si>
  <si>
    <t xml:space="preserve">Side-by-Side Object Comparison  (edit yellow cells)</t>
  </si>
  <si>
    <t xml:space="preserve">Parameter</t>
  </si>
  <si>
    <t xml:space="preserve">Object A</t>
  </si>
  <si>
    <t xml:space="preserve">Object B</t>
  </si>
  <si>
    <t xml:space="preserve">Object C</t>
  </si>
  <si>
    <t xml:space="preserve">Object D</t>
  </si>
  <si>
    <t xml:space="preserve">Temperature (°C)</t>
  </si>
  <si>
    <t xml:space="preserve">Surface Area (m²)</t>
  </si>
  <si>
    <t xml:space="preserve">Emissivity ε</t>
  </si>
  <si>
    <t xml:space="preserve">λ₁ — Band start (µm)</t>
  </si>
  <si>
    <t xml:space="preserve">λ₂ — Band end (µm)</t>
  </si>
  <si>
    <t xml:space="preserve">Result</t>
  </si>
  <si>
    <t xml:space="preserve">T (K)</t>
  </si>
  <si>
    <t xml:space="preserve">Peak λ (µm)</t>
  </si>
  <si>
    <t xml:space="preserve">P_total (W)</t>
  </si>
  <si>
    <t xml:space="preserve">P_band (W)</t>
  </si>
  <si>
    <t xml:space="preserve">Quick Emissivity Reference</t>
  </si>
  <si>
    <t xml:space="preserve">Water / ice</t>
  </si>
  <si>
    <t xml:space="preserve">0.95–0.97</t>
  </si>
  <si>
    <t xml:space="preserve">Human skin</t>
  </si>
  <si>
    <t xml:space="preserve">0.97–0.99</t>
  </si>
  <si>
    <t xml:space="preserve">Painted surfaces</t>
  </si>
  <si>
    <t xml:space="preserve">0.90–0.95</t>
  </si>
  <si>
    <t xml:space="preserve">Concrete / asphalt</t>
  </si>
  <si>
    <t xml:space="preserve">0.90–0.97</t>
  </si>
  <si>
    <t xml:space="preserve">Wood</t>
  </si>
  <si>
    <t xml:space="preserve">Oxidised steel</t>
  </si>
  <si>
    <t xml:space="preserve">0.70–0.80</t>
  </si>
  <si>
    <t xml:space="preserve">Polished copper</t>
  </si>
  <si>
    <t xml:space="preserve">0.03–0.05</t>
  </si>
  <si>
    <t xml:space="preserve">Polished aluminium</t>
  </si>
  <si>
    <t xml:space="preserve">0.04–0.06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</si>
</sst>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E+00"/>
    <numFmt numFmtId="166" formatCode="0.00"/>
    <numFmt numFmtId="167" formatCode="#,##0.000"/>
    <numFmt numFmtId="168" formatCode="0.000%"/>
    <numFmt numFmtId="169" formatCode="0"/>
    <numFmt numFmtId="170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AFF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E2EFDA"/>
      </patternFill>
    </fill>
    <fill>
      <patternFill patternType="solid">
        <fgColor rgb="FFF5FA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/>
      <top style="medium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A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4" customFormat="false" ht="18" hidden="false" customHeight="true" outlineLevel="0" collapsed="false">
      <c r="B4" s="2" t="s">
        <v>1</v>
      </c>
      <c r="C4" s="2"/>
      <c r="D4" s="2"/>
      <c r="E4" s="2"/>
    </row>
    <row r="5" customFormat="false" ht="15.75" hidden="false" customHeight="true" outlineLevel="0" collapsed="false">
      <c r="B5" s="3" t="s">
        <v>2</v>
      </c>
      <c r="C5" s="4" t="n">
        <v>6.62607015E-034</v>
      </c>
      <c r="D5" s="5" t="s">
        <v>3</v>
      </c>
      <c r="E5" s="6"/>
    </row>
    <row r="6" customFormat="false" ht="15.75" hidden="false" customHeight="true" outlineLevel="0" collapsed="false">
      <c r="B6" s="3" t="s">
        <v>4</v>
      </c>
      <c r="C6" s="4" t="n">
        <v>299792458</v>
      </c>
      <c r="D6" s="5" t="s">
        <v>5</v>
      </c>
      <c r="E6" s="6"/>
    </row>
    <row r="7" customFormat="false" ht="15.75" hidden="false" customHeight="true" outlineLevel="0" collapsed="false">
      <c r="B7" s="3" t="s">
        <v>6</v>
      </c>
      <c r="C7" s="4" t="n">
        <v>1.380649E-023</v>
      </c>
      <c r="D7" s="5" t="s">
        <v>7</v>
      </c>
      <c r="E7" s="6"/>
    </row>
    <row r="8" customFormat="false" ht="15.75" hidden="false" customHeight="true" outlineLevel="0" collapsed="false">
      <c r="B8" s="3" t="s">
        <v>8</v>
      </c>
      <c r="C8" s="4" t="n">
        <v>5.670374419E-008</v>
      </c>
      <c r="D8" s="5" t="s">
        <v>9</v>
      </c>
      <c r="E8" s="6"/>
    </row>
    <row r="10" customFormat="false" ht="18" hidden="false" customHeight="true" outlineLevel="0" collapsed="false">
      <c r="B10" s="2" t="s">
        <v>10</v>
      </c>
      <c r="C10" s="2"/>
      <c r="D10" s="2"/>
      <c r="E10" s="2"/>
    </row>
    <row r="11" customFormat="false" ht="18" hidden="false" customHeight="true" outlineLevel="0" collapsed="false">
      <c r="B11" s="7" t="s">
        <v>11</v>
      </c>
      <c r="C11" s="8" t="n">
        <v>150</v>
      </c>
      <c r="D11" s="9" t="s">
        <v>12</v>
      </c>
      <c r="E11" s="10" t="s">
        <v>13</v>
      </c>
    </row>
    <row r="12" customFormat="false" ht="18" hidden="false" customHeight="true" outlineLevel="0" collapsed="false">
      <c r="B12" s="7" t="s">
        <v>14</v>
      </c>
      <c r="C12" s="8" t="n">
        <v>0.05</v>
      </c>
      <c r="D12" s="9" t="s">
        <v>15</v>
      </c>
      <c r="E12" s="10" t="s">
        <v>16</v>
      </c>
    </row>
    <row r="13" customFormat="false" ht="18" hidden="false" customHeight="true" outlineLevel="0" collapsed="false">
      <c r="B13" s="7" t="s">
        <v>17</v>
      </c>
      <c r="C13" s="8" t="n">
        <v>0.96</v>
      </c>
      <c r="D13" s="9" t="s">
        <v>18</v>
      </c>
      <c r="E13" s="10" t="s">
        <v>19</v>
      </c>
    </row>
    <row r="14" customFormat="false" ht="18" hidden="false" customHeight="true" outlineLevel="0" collapsed="false">
      <c r="B14" s="7" t="s">
        <v>20</v>
      </c>
      <c r="C14" s="8" t="n">
        <v>8</v>
      </c>
      <c r="D14" s="9" t="s">
        <v>21</v>
      </c>
      <c r="E14" s="10" t="s">
        <v>22</v>
      </c>
    </row>
    <row r="15" customFormat="false" ht="18" hidden="false" customHeight="true" outlineLevel="0" collapsed="false">
      <c r="B15" s="7" t="s">
        <v>23</v>
      </c>
      <c r="C15" s="8" t="n">
        <v>10</v>
      </c>
      <c r="D15" s="9" t="s">
        <v>21</v>
      </c>
      <c r="E15" s="10" t="s">
        <v>24</v>
      </c>
    </row>
    <row r="16" customFormat="false" ht="18" hidden="false" customHeight="true" outlineLevel="0" collapsed="false">
      <c r="B16" s="7" t="s">
        <v>25</v>
      </c>
      <c r="C16" s="8" t="n">
        <v>500</v>
      </c>
      <c r="D16" s="9" t="s">
        <v>18</v>
      </c>
      <c r="E16" s="10" t="s">
        <v>26</v>
      </c>
    </row>
    <row r="18" customFormat="false" ht="18" hidden="false" customHeight="true" outlineLevel="0" collapsed="false">
      <c r="B18" s="2" t="s">
        <v>27</v>
      </c>
      <c r="C18" s="2"/>
      <c r="D18" s="2"/>
      <c r="E18" s="2"/>
    </row>
    <row r="19" customFormat="false" ht="18" hidden="false" customHeight="true" outlineLevel="0" collapsed="false">
      <c r="B19" s="11" t="s">
        <v>28</v>
      </c>
      <c r="C19" s="12" t="n">
        <f aca="false">C11+273.15</f>
        <v>423.15</v>
      </c>
      <c r="D19" s="13" t="s">
        <v>29</v>
      </c>
      <c r="E19" s="14" t="s">
        <v>30</v>
      </c>
    </row>
    <row r="20" customFormat="false" ht="18" hidden="false" customHeight="true" outlineLevel="0" collapsed="false">
      <c r="B20" s="11" t="s">
        <v>31</v>
      </c>
      <c r="C20" s="12" t="n">
        <f aca="false">2897.8/C19</f>
        <v>6.84816259009808</v>
      </c>
      <c r="D20" s="13" t="s">
        <v>21</v>
      </c>
      <c r="E20" s="14" t="s">
        <v>32</v>
      </c>
    </row>
    <row r="21" customFormat="false" ht="18" hidden="false" customHeight="true" outlineLevel="0" collapsed="false">
      <c r="B21" s="11" t="s">
        <v>33</v>
      </c>
      <c r="C21" s="15" t="n">
        <f aca="false">C13*C8*C19^4*C12</f>
        <v>87.2630432803691</v>
      </c>
      <c r="D21" s="13" t="s">
        <v>34</v>
      </c>
      <c r="E21" s="14" t="s">
        <v>35</v>
      </c>
    </row>
    <row r="23" customFormat="false" ht="18" hidden="false" customHeight="true" outlineLevel="0" collapsed="false">
      <c r="B23" s="2" t="s">
        <v>36</v>
      </c>
      <c r="C23" s="2"/>
      <c r="D23" s="2"/>
      <c r="E23" s="2"/>
    </row>
    <row r="24" customFormat="false" ht="18" hidden="false" customHeight="true" outlineLevel="0" collapsed="false">
      <c r="B24" s="11" t="s">
        <v>37</v>
      </c>
      <c r="C24" s="15" t="n">
        <f aca="false">Integration!C4</f>
        <v>1.42031572853828E-005</v>
      </c>
      <c r="D24" s="13" t="s">
        <v>34</v>
      </c>
      <c r="E24" s="14" t="s">
        <v>38</v>
      </c>
    </row>
    <row r="25" customFormat="false" ht="18" hidden="false" customHeight="true" outlineLevel="0" collapsed="false">
      <c r="B25" s="11" t="s">
        <v>39</v>
      </c>
      <c r="C25" s="16" t="n">
        <f aca="false">Integration!C5</f>
        <v>1.6276257108922E-007</v>
      </c>
      <c r="D25" s="13" t="s">
        <v>40</v>
      </c>
      <c r="E25" s="14" t="s">
        <v>41</v>
      </c>
    </row>
    <row r="26" customFormat="false" ht="18" hidden="false" customHeight="true" outlineLevel="0" collapsed="false">
      <c r="B26" s="11" t="s">
        <v>42</v>
      </c>
      <c r="C26" s="15" t="n">
        <f aca="false">Integration!C6</f>
        <v>0.000284063145707656</v>
      </c>
      <c r="D26" s="13" t="s">
        <v>43</v>
      </c>
      <c r="E26" s="14" t="s">
        <v>44</v>
      </c>
    </row>
    <row r="27" customFormat="false" ht="18" hidden="false" customHeight="true" outlineLevel="0" collapsed="false">
      <c r="B27" s="11" t="s">
        <v>45</v>
      </c>
      <c r="C27" s="17" t="n">
        <f aca="false">Integration!C7</f>
        <v>55.5644703306022</v>
      </c>
      <c r="D27" s="13" t="s">
        <v>46</v>
      </c>
      <c r="E27" s="14" t="s">
        <v>47</v>
      </c>
    </row>
    <row r="30" customFormat="false" ht="13.5" hidden="false" customHeight="true" outlineLevel="0" collapsed="false">
      <c r="B30" s="18" t="s">
        <v>48</v>
      </c>
      <c r="C30" s="18"/>
      <c r="D30" s="18"/>
      <c r="E30" s="18"/>
    </row>
    <row r="31" customFormat="false" ht="13.5" hidden="false" customHeight="true" outlineLevel="0" collapsed="false">
      <c r="B31" s="18"/>
      <c r="C31" s="18"/>
      <c r="D31" s="18"/>
      <c r="E31" s="18"/>
    </row>
    <row r="32" customFormat="false" ht="13.5" hidden="false" customHeight="true" outlineLevel="0" collapsed="false">
      <c r="B32" s="18"/>
      <c r="C32" s="18"/>
      <c r="D32" s="18"/>
      <c r="E32" s="18"/>
    </row>
    <row r="33" customFormat="false" ht="13.5" hidden="false" customHeight="true" outlineLevel="0" collapsed="false">
      <c r="B33" s="18"/>
      <c r="C33" s="18"/>
      <c r="D33" s="18"/>
      <c r="E33" s="18"/>
    </row>
    <row r="34" customFormat="false" ht="13.5" hidden="false" customHeight="true" outlineLevel="0" collapsed="false">
      <c r="B34" s="18"/>
      <c r="C34" s="18"/>
      <c r="D34" s="18"/>
      <c r="E34" s="18"/>
    </row>
    <row r="35" customFormat="false" ht="13.5" hidden="false" customHeight="true" outlineLevel="0" collapsed="false">
      <c r="B35" s="18"/>
      <c r="C35" s="18"/>
      <c r="D35" s="18"/>
      <c r="E35" s="18"/>
    </row>
  </sheetData>
  <mergeCells count="6">
    <mergeCell ref="B2:E2"/>
    <mergeCell ref="B4:E4"/>
    <mergeCell ref="B10:E10"/>
    <mergeCell ref="B18:E18"/>
    <mergeCell ref="B23:E23"/>
    <mergeCell ref="B30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3"/>
  </cols>
  <sheetData>
    <row r="1" customFormat="false" ht="24" hidden="false" customHeight="true" outlineLevel="0" collapsed="false">
      <c r="B1" s="19" t="s">
        <v>49</v>
      </c>
      <c r="C1" s="19"/>
    </row>
    <row r="4" customFormat="false" ht="18" hidden="false" customHeight="true" outlineLevel="0" collapsed="false">
      <c r="B4" s="11" t="s">
        <v>50</v>
      </c>
      <c r="C4" s="15" t="n">
        <f aca="false">'IR Calculator'!C13*'IR Calculator'!C12*PI()*SUMPRODUCT(IntStep_dL,IntStep_B)*0.000001</f>
        <v>1.42031572853828E-005</v>
      </c>
    </row>
    <row r="5" customFormat="false" ht="18" hidden="false" customHeight="true" outlineLevel="0" collapsed="false">
      <c r="B5" s="11" t="s">
        <v>39</v>
      </c>
      <c r="C5" s="16" t="n">
        <f aca="false">C4/'IR Calculator'!C21</f>
        <v>1.6276257108922E-007</v>
      </c>
    </row>
    <row r="6" customFormat="false" ht="18" hidden="false" customHeight="true" outlineLevel="0" collapsed="false">
      <c r="B6" s="11" t="s">
        <v>51</v>
      </c>
      <c r="C6" s="15" t="n">
        <f aca="false">C4/'IR Calculator'!C12</f>
        <v>0.000284063145707656</v>
      </c>
    </row>
    <row r="7" customFormat="false" ht="18" hidden="false" customHeight="true" outlineLevel="0" collapsed="false">
      <c r="B7" s="11" t="s">
        <v>52</v>
      </c>
      <c r="C7" s="17" t="n">
        <f aca="false">(2*'IR Calculator'!C5*('IR Calculator'!C6)^2/(('IR Calculator'!C20*0.000001)^5))/(EXP(MIN('IR Calculator'!C5*'IR Calculator'!C6/('IR Calculator'!C20*0.000001*'IR Calculator'!C7*'IR Calculator'!C19),700))-1)*0.000001</f>
        <v>55.5644703306022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20" t="s">
        <v>53</v>
      </c>
      <c r="C10" s="20" t="s">
        <v>54</v>
      </c>
      <c r="D10" s="21" t="s">
        <v>55</v>
      </c>
      <c r="E10" s="21" t="s">
        <v>56</v>
      </c>
    </row>
    <row r="11" customFormat="false" ht="12.75" hidden="false" customHeight="true" outlineLevel="0" collapsed="false">
      <c r="B11" s="22" t="n">
        <v>1</v>
      </c>
      <c r="C11" s="23" t="n">
        <f aca="false">'IR Calculator'!C14+(1-0.5)*('IR Calculator'!C15-'IR Calculator'!C14)/MIN('IR Calculator'!C16,500)</f>
        <v>8.002</v>
      </c>
      <c r="D11" s="24" t="n">
        <f aca="false">('IR Calculator'!C15-'IR Calculator'!C14)/MIN('IR Calculator'!C16,500)</f>
        <v>0.004</v>
      </c>
      <c r="E11" s="25" t="n">
        <f aca="false">(2*'IR Calculator'!$C$5*'IR Calculator'!$C$6^2/((('IR Calculator'!C14+(1-0.5)*('IR Calculator'!C15-'IR Calculator'!C14)/MIN('IR Calculator'!C16,500))*0.000001)^5))/(EXP(MIN('IR Calculator'!$C$5*'IR Calculator'!$C$6/((('IR Calculator'!C14+(1-0.5)*('IR Calculator'!C15-'IR Calculator'!C14)/MIN('IR Calculator'!C16,500))*0.000001)*'IR Calculator'!$C$7*'IR Calculator'!$C$19),700))-1)*0.000001</f>
        <v>52.5779459014947</v>
      </c>
    </row>
    <row r="12" customFormat="false" ht="12.75" hidden="false" customHeight="true" outlineLevel="0" collapsed="false">
      <c r="B12" s="26" t="n">
        <v>2</v>
      </c>
      <c r="C12" s="27" t="n">
        <f aca="false">'IR Calculator'!C14+(2-0.5)*('IR Calculator'!C15-'IR Calculator'!C14)/MIN('IR Calculator'!C16,500)</f>
        <v>8.006</v>
      </c>
      <c r="D12" s="28" t="n">
        <f aca="false">('IR Calculator'!C15-'IR Calculator'!C14)/MIN('IR Calculator'!C16,500)</f>
        <v>0.004</v>
      </c>
      <c r="E12" s="29" t="n">
        <f aca="false">(2*'IR Calculator'!$C$5*'IR Calculator'!$C$6^2/((('IR Calculator'!C14+(2-0.5)*('IR Calculator'!C15-'IR Calculator'!C14)/MIN('IR Calculator'!C16,500))*0.000001)^5))/(EXP(MIN('IR Calculator'!$C$5*'IR Calculator'!$C$6/((('IR Calculator'!C14+(2-0.5)*('IR Calculator'!C15-'IR Calculator'!C14)/MIN('IR Calculator'!C16,500))*0.000001)*'IR Calculator'!$C$7*'IR Calculator'!$C$19),700))-1)*0.000001</f>
        <v>52.5598099359458</v>
      </c>
    </row>
    <row r="13" customFormat="false" ht="12.75" hidden="false" customHeight="true" outlineLevel="0" collapsed="false">
      <c r="B13" s="22" t="n">
        <v>3</v>
      </c>
      <c r="C13" s="23" t="n">
        <f aca="false">'IR Calculator'!C14+(3-0.5)*('IR Calculator'!C15-'IR Calculator'!C14)/MIN('IR Calculator'!C16,500)</f>
        <v>8.01</v>
      </c>
      <c r="D13" s="24" t="n">
        <f aca="false">('IR Calculator'!C15-'IR Calculator'!C14)/MIN('IR Calculator'!C16,500)</f>
        <v>0.004</v>
      </c>
      <c r="E13" s="25" t="n">
        <f aca="false">(2*'IR Calculator'!$C$5*'IR Calculator'!$C$6^2/((('IR Calculator'!C14+(3-0.5)*('IR Calculator'!C15-'IR Calculator'!C14)/MIN('IR Calculator'!C16,500))*0.000001)^5))/(EXP(MIN('IR Calculator'!$C$5*'IR Calculator'!$C$6/((('IR Calculator'!C14+(3-0.5)*('IR Calculator'!C15-'IR Calculator'!C14)/MIN('IR Calculator'!C16,500))*0.000001)*'IR Calculator'!$C$7*'IR Calculator'!$C$19),700))-1)*0.000001</f>
        <v>52.5416362659576</v>
      </c>
    </row>
    <row r="14" customFormat="false" ht="12.75" hidden="false" customHeight="true" outlineLevel="0" collapsed="false">
      <c r="B14" s="26" t="n">
        <v>4</v>
      </c>
      <c r="C14" s="27" t="n">
        <f aca="false">'IR Calculator'!C14+(4-0.5)*('IR Calculator'!C15-'IR Calculator'!C14)/MIN('IR Calculator'!C16,500)</f>
        <v>8.014</v>
      </c>
      <c r="D14" s="28" t="n">
        <f aca="false">('IR Calculator'!C15-'IR Calculator'!C14)/MIN('IR Calculator'!C16,500)</f>
        <v>0.004</v>
      </c>
      <c r="E14" s="29" t="n">
        <f aca="false">(2*'IR Calculator'!$C$5*'IR Calculator'!$C$6^2/((('IR Calculator'!C14+(4-0.5)*('IR Calculator'!C15-'IR Calculator'!C14)/MIN('IR Calculator'!C16,500))*0.000001)^5))/(EXP(MIN('IR Calculator'!$C$5*'IR Calculator'!$C$6/((('IR Calculator'!C14+(4-0.5)*('IR Calculator'!C15-'IR Calculator'!C14)/MIN('IR Calculator'!C16,500))*0.000001)*'IR Calculator'!$C$7*'IR Calculator'!$C$19),700))-1)*0.000001</f>
        <v>52.5234250358597</v>
      </c>
    </row>
    <row r="15" customFormat="false" ht="12.75" hidden="false" customHeight="true" outlineLevel="0" collapsed="false">
      <c r="B15" s="22" t="n">
        <v>5</v>
      </c>
      <c r="C15" s="23" t="n">
        <f aca="false">'IR Calculator'!C14+(5-0.5)*('IR Calculator'!C15-'IR Calculator'!C14)/MIN('IR Calculator'!C16,500)</f>
        <v>8.018</v>
      </c>
      <c r="D15" s="24" t="n">
        <f aca="false">('IR Calculator'!C15-'IR Calculator'!C14)/MIN('IR Calculator'!C16,500)</f>
        <v>0.004</v>
      </c>
      <c r="E15" s="25" t="n">
        <f aca="false">(2*'IR Calculator'!$C$5*'IR Calculator'!$C$6^2/((('IR Calculator'!C14+(5-0.5)*('IR Calculator'!C15-'IR Calculator'!C14)/MIN('IR Calculator'!C16,500))*0.000001)^5))/(EXP(MIN('IR Calculator'!$C$5*'IR Calculator'!$C$6/((('IR Calculator'!C14+(5-0.5)*('IR Calculator'!C15-'IR Calculator'!C14)/MIN('IR Calculator'!C16,500))*0.000001)*'IR Calculator'!$C$7*'IR Calculator'!$C$19),700))-1)*0.000001</f>
        <v>52.5051763896841</v>
      </c>
    </row>
    <row r="16" customFormat="false" ht="12.75" hidden="false" customHeight="true" outlineLevel="0" collapsed="false">
      <c r="B16" s="26" t="n">
        <v>6</v>
      </c>
      <c r="C16" s="27" t="n">
        <f aca="false">'IR Calculator'!C14+(6-0.5)*('IR Calculator'!C15-'IR Calculator'!C14)/MIN('IR Calculator'!C16,500)</f>
        <v>8.022</v>
      </c>
      <c r="D16" s="28" t="n">
        <f aca="false">('IR Calculator'!C15-'IR Calculator'!C14)/MIN('IR Calculator'!C16,500)</f>
        <v>0.004</v>
      </c>
      <c r="E16" s="29" t="n">
        <f aca="false">(2*'IR Calculator'!$C$5*'IR Calculator'!$C$6^2/((('IR Calculator'!C14+(6-0.5)*('IR Calculator'!C15-'IR Calculator'!C14)/MIN('IR Calculator'!C16,500))*0.000001)^5))/(EXP(MIN('IR Calculator'!$C$5*'IR Calculator'!$C$6/((('IR Calculator'!C14+(6-0.5)*('IR Calculator'!C15-'IR Calculator'!C14)/MIN('IR Calculator'!C16,500))*0.000001)*'IR Calculator'!$C$7*'IR Calculator'!$C$19),700))-1)*0.000001</f>
        <v>52.4868904711655</v>
      </c>
    </row>
    <row r="17" customFormat="false" ht="12.75" hidden="false" customHeight="true" outlineLevel="0" collapsed="false">
      <c r="B17" s="22" t="n">
        <v>7</v>
      </c>
      <c r="C17" s="23" t="n">
        <f aca="false">'IR Calculator'!C14+(7-0.5)*('IR Calculator'!C15-'IR Calculator'!C14)/MIN('IR Calculator'!C16,500)</f>
        <v>8.026</v>
      </c>
      <c r="D17" s="24" t="n">
        <f aca="false">('IR Calculator'!C15-'IR Calculator'!C14)/MIN('IR Calculator'!C16,500)</f>
        <v>0.004</v>
      </c>
      <c r="E17" s="25" t="n">
        <f aca="false">(2*'IR Calculator'!$C$5*'IR Calculator'!$C$6^2/((('IR Calculator'!C14+(7-0.5)*('IR Calculator'!C15-'IR Calculator'!C14)/MIN('IR Calculator'!C16,500))*0.000001)^5))/(EXP(MIN('IR Calculator'!$C$5*'IR Calculator'!$C$6/((('IR Calculator'!C14+(7-0.5)*('IR Calculator'!C15-'IR Calculator'!C14)/MIN('IR Calculator'!C16,500))*0.000001)*'IR Calculator'!$C$7*'IR Calculator'!$C$19),700))-1)*0.000001</f>
        <v>52.4685674237415</v>
      </c>
    </row>
    <row r="18" customFormat="false" ht="12.75" hidden="false" customHeight="true" outlineLevel="0" collapsed="false">
      <c r="B18" s="26" t="n">
        <v>8</v>
      </c>
      <c r="C18" s="27" t="n">
        <f aca="false">'IR Calculator'!C14+(8-0.5)*('IR Calculator'!C15-'IR Calculator'!C14)/MIN('IR Calculator'!C16,500)</f>
        <v>8.03</v>
      </c>
      <c r="D18" s="28" t="n">
        <f aca="false">('IR Calculator'!C15-'IR Calculator'!C14)/MIN('IR Calculator'!C16,500)</f>
        <v>0.004</v>
      </c>
      <c r="E18" s="29" t="n">
        <f aca="false">(2*'IR Calculator'!$C$5*'IR Calculator'!$C$6^2/((('IR Calculator'!C14+(8-0.5)*('IR Calculator'!C15-'IR Calculator'!C14)/MIN('IR Calculator'!C16,500))*0.000001)^5))/(EXP(MIN('IR Calculator'!$C$5*'IR Calculator'!$C$6/((('IR Calculator'!C14+(8-0.5)*('IR Calculator'!C15-'IR Calculator'!C14)/MIN('IR Calculator'!C16,500))*0.000001)*'IR Calculator'!$C$7*'IR Calculator'!$C$19),700))-1)*0.000001</f>
        <v>52.4502073905525</v>
      </c>
    </row>
    <row r="19" customFormat="false" ht="12.75" hidden="false" customHeight="true" outlineLevel="0" collapsed="false">
      <c r="B19" s="22" t="n">
        <v>9</v>
      </c>
      <c r="C19" s="23" t="n">
        <f aca="false">'IR Calculator'!C14+(9-0.5)*('IR Calculator'!C15-'IR Calculator'!C14)/MIN('IR Calculator'!C16,500)</f>
        <v>8.034</v>
      </c>
      <c r="D19" s="24" t="n">
        <f aca="false">('IR Calculator'!C15-'IR Calculator'!C14)/MIN('IR Calculator'!C16,500)</f>
        <v>0.004</v>
      </c>
      <c r="E19" s="25" t="n">
        <f aca="false">(2*'IR Calculator'!$C$5*'IR Calculator'!$C$6^2/((('IR Calculator'!C14+(9-0.5)*('IR Calculator'!C15-'IR Calculator'!C14)/MIN('IR Calculator'!C16,500))*0.000001)^5))/(EXP(MIN('IR Calculator'!$C$5*'IR Calculator'!$C$6/((('IR Calculator'!C14+(9-0.5)*('IR Calculator'!C15-'IR Calculator'!C14)/MIN('IR Calculator'!C16,500))*0.000001)*'IR Calculator'!$C$7*'IR Calculator'!$C$19),700))-1)*0.000001</f>
        <v>52.4318105144424</v>
      </c>
    </row>
    <row r="20" customFormat="false" ht="12.75" hidden="false" customHeight="true" outlineLevel="0" collapsed="false">
      <c r="B20" s="26" t="n">
        <v>10</v>
      </c>
      <c r="C20" s="27" t="n">
        <f aca="false">'IR Calculator'!C14+(10-0.5)*('IR Calculator'!C15-'IR Calculator'!C14)/MIN('IR Calculator'!C16,500)</f>
        <v>8.038</v>
      </c>
      <c r="D20" s="28" t="n">
        <f aca="false">('IR Calculator'!C15-'IR Calculator'!C14)/MIN('IR Calculator'!C16,500)</f>
        <v>0.004</v>
      </c>
      <c r="E20" s="29" t="n">
        <f aca="false">(2*'IR Calculator'!$C$5*'IR Calculator'!$C$6^2/((('IR Calculator'!C14+(10-0.5)*('IR Calculator'!C15-'IR Calculator'!C14)/MIN('IR Calculator'!C16,500))*0.000001)^5))/(EXP(MIN('IR Calculator'!$C$5*'IR Calculator'!$C$6/((('IR Calculator'!C14+(10-0.5)*('IR Calculator'!C15-'IR Calculator'!C14)/MIN('IR Calculator'!C16,500))*0.000001)*'IR Calculator'!$C$7*'IR Calculator'!$C$19),700))-1)*0.000001</f>
        <v>52.4133769379579</v>
      </c>
    </row>
    <row r="21" customFormat="false" ht="12.75" hidden="false" customHeight="true" outlineLevel="0" collapsed="false">
      <c r="B21" s="22" t="n">
        <v>11</v>
      </c>
      <c r="C21" s="23" t="n">
        <f aca="false">'IR Calculator'!C14+(11-0.5)*('IR Calculator'!C15-'IR Calculator'!C14)/MIN('IR Calculator'!C16,500)</f>
        <v>8.042</v>
      </c>
      <c r="D21" s="24" t="n">
        <f aca="false">('IR Calculator'!C15-'IR Calculator'!C14)/MIN('IR Calculator'!C16,500)</f>
        <v>0.004</v>
      </c>
      <c r="E21" s="25" t="n">
        <f aca="false">(2*'IR Calculator'!$C$5*'IR Calculator'!$C$6^2/((('IR Calculator'!C14+(11-0.5)*('IR Calculator'!C15-'IR Calculator'!C14)/MIN('IR Calculator'!C16,500))*0.000001)^5))/(EXP(MIN('IR Calculator'!$C$5*'IR Calculator'!$C$6/((('IR Calculator'!C14+(11-0.5)*('IR Calculator'!C15-'IR Calculator'!C14)/MIN('IR Calculator'!C16,500))*0.000001)*'IR Calculator'!$C$7*'IR Calculator'!$C$19),700))-1)*0.000001</f>
        <v>52.3949068033498</v>
      </c>
    </row>
    <row r="22" customFormat="false" ht="12.75" hidden="false" customHeight="true" outlineLevel="0" collapsed="false">
      <c r="B22" s="26" t="n">
        <v>12</v>
      </c>
      <c r="C22" s="27" t="n">
        <f aca="false">'IR Calculator'!C14+(12-0.5)*('IR Calculator'!C15-'IR Calculator'!C14)/MIN('IR Calculator'!C16,500)</f>
        <v>8.046</v>
      </c>
      <c r="D22" s="28" t="n">
        <f aca="false">('IR Calculator'!C15-'IR Calculator'!C14)/MIN('IR Calculator'!C16,500)</f>
        <v>0.004</v>
      </c>
      <c r="E22" s="29" t="n">
        <f aca="false">(2*'IR Calculator'!$C$5*'IR Calculator'!$C$6^2/((('IR Calculator'!C14+(12-0.5)*('IR Calculator'!C15-'IR Calculator'!C14)/MIN('IR Calculator'!C16,500))*0.000001)^5))/(EXP(MIN('IR Calculator'!$C$5*'IR Calculator'!$C$6/((('IR Calculator'!C14+(12-0.5)*('IR Calculator'!C15-'IR Calculator'!C14)/MIN('IR Calculator'!C16,500))*0.000001)*'IR Calculator'!$C$7*'IR Calculator'!$C$19),700))-1)*0.000001</f>
        <v>52.3764002525722</v>
      </c>
    </row>
    <row r="23" customFormat="false" ht="12.75" hidden="false" customHeight="true" outlineLevel="0" collapsed="false">
      <c r="B23" s="22" t="n">
        <v>13</v>
      </c>
      <c r="C23" s="23" t="n">
        <f aca="false">'IR Calculator'!C14+(13-0.5)*('IR Calculator'!C15-'IR Calculator'!C14)/MIN('IR Calculator'!C16,500)</f>
        <v>8.05</v>
      </c>
      <c r="D23" s="24" t="n">
        <f aca="false">('IR Calculator'!C15-'IR Calculator'!C14)/MIN('IR Calculator'!C16,500)</f>
        <v>0.004</v>
      </c>
      <c r="E23" s="25" t="n">
        <f aca="false">(2*'IR Calculator'!$C$5*'IR Calculator'!$C$6^2/((('IR Calculator'!C14+(13-0.5)*('IR Calculator'!C15-'IR Calculator'!C14)/MIN('IR Calculator'!C16,500))*0.000001)^5))/(EXP(MIN('IR Calculator'!$C$5*'IR Calculator'!$C$6/((('IR Calculator'!C14+(13-0.5)*('IR Calculator'!C15-'IR Calculator'!C14)/MIN('IR Calculator'!C16,500))*0.000001)*'IR Calculator'!$C$7*'IR Calculator'!$C$19),700))-1)*0.000001</f>
        <v>52.357857427283</v>
      </c>
    </row>
    <row r="24" customFormat="false" ht="12.75" hidden="false" customHeight="true" outlineLevel="0" collapsed="false">
      <c r="B24" s="26" t="n">
        <v>14</v>
      </c>
      <c r="C24" s="27" t="n">
        <f aca="false">'IR Calculator'!C14+(14-0.5)*('IR Calculator'!C15-'IR Calculator'!C14)/MIN('IR Calculator'!C16,500)</f>
        <v>8.054</v>
      </c>
      <c r="D24" s="28" t="n">
        <f aca="false">('IR Calculator'!C15-'IR Calculator'!C14)/MIN('IR Calculator'!C16,500)</f>
        <v>0.004</v>
      </c>
      <c r="E24" s="29" t="n">
        <f aca="false">(2*'IR Calculator'!$C$5*'IR Calculator'!$C$6^2/((('IR Calculator'!C14+(14-0.5)*('IR Calculator'!C15-'IR Calculator'!C14)/MIN('IR Calculator'!C16,500))*0.000001)^5))/(EXP(MIN('IR Calculator'!$C$5*'IR Calculator'!$C$6/((('IR Calculator'!C14+(14-0.5)*('IR Calculator'!C15-'IR Calculator'!C14)/MIN('IR Calculator'!C16,500))*0.000001)*'IR Calculator'!$C$7*'IR Calculator'!$C$19),700))-1)*0.000001</f>
        <v>52.3392784688443</v>
      </c>
    </row>
    <row r="25" customFormat="false" ht="12.75" hidden="false" customHeight="true" outlineLevel="0" collapsed="false">
      <c r="B25" s="22" t="n">
        <v>15</v>
      </c>
      <c r="C25" s="23" t="n">
        <f aca="false">'IR Calculator'!C14+(15-0.5)*('IR Calculator'!C15-'IR Calculator'!C14)/MIN('IR Calculator'!C16,500)</f>
        <v>8.058</v>
      </c>
      <c r="D25" s="24" t="n">
        <f aca="false">('IR Calculator'!C15-'IR Calculator'!C14)/MIN('IR Calculator'!C16,500)</f>
        <v>0.004</v>
      </c>
      <c r="E25" s="25" t="n">
        <f aca="false">(2*'IR Calculator'!$C$5*'IR Calculator'!$C$6^2/((('IR Calculator'!C14+(15-0.5)*('IR Calculator'!C15-'IR Calculator'!C14)/MIN('IR Calculator'!C16,500))*0.000001)^5))/(EXP(MIN('IR Calculator'!$C$5*'IR Calculator'!$C$6/((('IR Calculator'!C14+(15-0.5)*('IR Calculator'!C15-'IR Calculator'!C14)/MIN('IR Calculator'!C16,500))*0.000001)*'IR Calculator'!$C$7*'IR Calculator'!$C$19),700))-1)*0.000001</f>
        <v>52.3206635183225</v>
      </c>
    </row>
    <row r="26" customFormat="false" ht="12.75" hidden="false" customHeight="true" outlineLevel="0" collapsed="false">
      <c r="B26" s="26" t="n">
        <v>16</v>
      </c>
      <c r="C26" s="27" t="n">
        <f aca="false">'IR Calculator'!C14+(16-0.5)*('IR Calculator'!C15-'IR Calculator'!C14)/MIN('IR Calculator'!C16,500)</f>
        <v>8.062</v>
      </c>
      <c r="D26" s="28" t="n">
        <f aca="false">('IR Calculator'!C15-'IR Calculator'!C14)/MIN('IR Calculator'!C16,500)</f>
        <v>0.004</v>
      </c>
      <c r="E26" s="29" t="n">
        <f aca="false">(2*'IR Calculator'!$C$5*'IR Calculator'!$C$6^2/((('IR Calculator'!C14+(16-0.5)*('IR Calculator'!C15-'IR Calculator'!C14)/MIN('IR Calculator'!C16,500))*0.000001)^5))/(EXP(MIN('IR Calculator'!$C$5*'IR Calculator'!$C$6/((('IR Calculator'!C14+(16-0.5)*('IR Calculator'!C15-'IR Calculator'!C14)/MIN('IR Calculator'!C16,500))*0.000001)*'IR Calculator'!$C$7*'IR Calculator'!$C$19),700))-1)*0.000001</f>
        <v>52.3020127164881</v>
      </c>
    </row>
    <row r="27" customFormat="false" ht="12.75" hidden="false" customHeight="true" outlineLevel="0" collapsed="false">
      <c r="B27" s="22" t="n">
        <v>17</v>
      </c>
      <c r="C27" s="23" t="n">
        <f aca="false">'IR Calculator'!C14+(17-0.5)*('IR Calculator'!C15-'IR Calculator'!C14)/MIN('IR Calculator'!C16,500)</f>
        <v>8.066</v>
      </c>
      <c r="D27" s="24" t="n">
        <f aca="false">('IR Calculator'!C15-'IR Calculator'!C14)/MIN('IR Calculator'!C16,500)</f>
        <v>0.004</v>
      </c>
      <c r="E27" s="25" t="n">
        <f aca="false">(2*'IR Calculator'!$C$5*'IR Calculator'!$C$6^2/((('IR Calculator'!C14+(17-0.5)*('IR Calculator'!C15-'IR Calculator'!C14)/MIN('IR Calculator'!C16,500))*0.000001)^5))/(EXP(MIN('IR Calculator'!$C$5*'IR Calculator'!$C$6/((('IR Calculator'!C14+(17-0.5)*('IR Calculator'!C15-'IR Calculator'!C14)/MIN('IR Calculator'!C16,500))*0.000001)*'IR Calculator'!$C$7*'IR Calculator'!$C$19),700))-1)*0.000001</f>
        <v>52.2833262038164</v>
      </c>
    </row>
    <row r="28" customFormat="false" ht="12.75" hidden="false" customHeight="true" outlineLevel="0" collapsed="false">
      <c r="B28" s="26" t="n">
        <v>18</v>
      </c>
      <c r="C28" s="27" t="n">
        <f aca="false">'IR Calculator'!C14+(18-0.5)*('IR Calculator'!C15-'IR Calculator'!C14)/MIN('IR Calculator'!C16,500)</f>
        <v>8.07</v>
      </c>
      <c r="D28" s="28" t="n">
        <f aca="false">('IR Calculator'!C15-'IR Calculator'!C14)/MIN('IR Calculator'!C16,500)</f>
        <v>0.004</v>
      </c>
      <c r="E28" s="29" t="n">
        <f aca="false">(2*'IR Calculator'!$C$5*'IR Calculator'!$C$6^2/((('IR Calculator'!C14+(18-0.5)*('IR Calculator'!C15-'IR Calculator'!C14)/MIN('IR Calculator'!C16,500))*0.000001)^5))/(EXP(MIN('IR Calculator'!$C$5*'IR Calculator'!$C$6/((('IR Calculator'!C14+(18-0.5)*('IR Calculator'!C15-'IR Calculator'!C14)/MIN('IR Calculator'!C16,500))*0.000001)*'IR Calculator'!$C$7*'IR Calculator'!$C$19),700))-1)*0.000001</f>
        <v>52.2646041204874</v>
      </c>
    </row>
    <row r="29" customFormat="false" ht="12.75" hidden="false" customHeight="true" outlineLevel="0" collapsed="false">
      <c r="B29" s="22" t="n">
        <v>19</v>
      </c>
      <c r="C29" s="23" t="n">
        <f aca="false">'IR Calculator'!C14+(19-0.5)*('IR Calculator'!C15-'IR Calculator'!C14)/MIN('IR Calculator'!C16,500)</f>
        <v>8.074</v>
      </c>
      <c r="D29" s="24" t="n">
        <f aca="false">('IR Calculator'!C15-'IR Calculator'!C14)/MIN('IR Calculator'!C16,500)</f>
        <v>0.004</v>
      </c>
      <c r="E29" s="25" t="n">
        <f aca="false">(2*'IR Calculator'!$C$5*'IR Calculator'!$C$6^2/((('IR Calculator'!C14+(19-0.5)*('IR Calculator'!C15-'IR Calculator'!C14)/MIN('IR Calculator'!C16,500))*0.000001)^5))/(EXP(MIN('IR Calculator'!$C$5*'IR Calculator'!$C$6/((('IR Calculator'!C14+(19-0.5)*('IR Calculator'!C15-'IR Calculator'!C14)/MIN('IR Calculator'!C16,500))*0.000001)*'IR Calculator'!$C$7*'IR Calculator'!$C$19),700))-1)*0.000001</f>
        <v>52.245846606386</v>
      </c>
    </row>
    <row r="30" customFormat="false" ht="12.75" hidden="false" customHeight="true" outlineLevel="0" collapsed="false">
      <c r="B30" s="26" t="n">
        <v>20</v>
      </c>
      <c r="C30" s="27" t="n">
        <f aca="false">'IR Calculator'!C14+(20-0.5)*('IR Calculator'!C15-'IR Calculator'!C14)/MIN('IR Calculator'!C16,500)</f>
        <v>8.078</v>
      </c>
      <c r="D30" s="28" t="n">
        <f aca="false">('IR Calculator'!C15-'IR Calculator'!C14)/MIN('IR Calculator'!C16,500)</f>
        <v>0.004</v>
      </c>
      <c r="E30" s="29" t="n">
        <f aca="false">(2*'IR Calculator'!$C$5*'IR Calculator'!$C$6^2/((('IR Calculator'!C14+(20-0.5)*('IR Calculator'!C15-'IR Calculator'!C14)/MIN('IR Calculator'!C16,500))*0.000001)^5))/(EXP(MIN('IR Calculator'!$C$5*'IR Calculator'!$C$6/((('IR Calculator'!C14+(20-0.5)*('IR Calculator'!C15-'IR Calculator'!C14)/MIN('IR Calculator'!C16,500))*0.000001)*'IR Calculator'!$C$7*'IR Calculator'!$C$19),700))-1)*0.000001</f>
        <v>52.2270538011024</v>
      </c>
    </row>
    <row r="31" customFormat="false" ht="12.75" hidden="false" customHeight="true" outlineLevel="0" collapsed="false">
      <c r="B31" s="22" t="n">
        <v>21</v>
      </c>
      <c r="C31" s="23" t="n">
        <f aca="false">'IR Calculator'!C14+(21-0.5)*('IR Calculator'!C15-'IR Calculator'!C14)/MIN('IR Calculator'!C16,500)</f>
        <v>8.082</v>
      </c>
      <c r="D31" s="24" t="n">
        <f aca="false">('IR Calculator'!C15-'IR Calculator'!C14)/MIN('IR Calculator'!C16,500)</f>
        <v>0.004</v>
      </c>
      <c r="E31" s="25" t="n">
        <f aca="false">(2*'IR Calculator'!$C$5*'IR Calculator'!$C$6^2/((('IR Calculator'!C14+(21-0.5)*('IR Calculator'!C15-'IR Calculator'!C14)/MIN('IR Calculator'!C16,500))*0.000001)^5))/(EXP(MIN('IR Calculator'!$C$5*'IR Calculator'!$C$6/((('IR Calculator'!C14+(21-0.5)*('IR Calculator'!C15-'IR Calculator'!C14)/MIN('IR Calculator'!C16,500))*0.000001)*'IR Calculator'!$C$7*'IR Calculator'!$C$19),700))-1)*0.000001</f>
        <v>52.208225843932</v>
      </c>
    </row>
    <row r="32" customFormat="false" ht="12.75" hidden="false" customHeight="true" outlineLevel="0" collapsed="false">
      <c r="B32" s="26" t="n">
        <v>22</v>
      </c>
      <c r="C32" s="27" t="n">
        <f aca="false">'IR Calculator'!C14+(22-0.5)*('IR Calculator'!C15-'IR Calculator'!C14)/MIN('IR Calculator'!C16,500)</f>
        <v>8.086</v>
      </c>
      <c r="D32" s="28" t="n">
        <f aca="false">('IR Calculator'!C15-'IR Calculator'!C14)/MIN('IR Calculator'!C16,500)</f>
        <v>0.004</v>
      </c>
      <c r="E32" s="29" t="n">
        <f aca="false">(2*'IR Calculator'!$C$5*'IR Calculator'!$C$6^2/((('IR Calculator'!C14+(22-0.5)*('IR Calculator'!C15-'IR Calculator'!C14)/MIN('IR Calculator'!C16,500))*0.000001)^5))/(EXP(MIN('IR Calculator'!$C$5*'IR Calculator'!$C$6/((('IR Calculator'!C14+(22-0.5)*('IR Calculator'!C15-'IR Calculator'!C14)/MIN('IR Calculator'!C16,500))*0.000001)*'IR Calculator'!$C$7*'IR Calculator'!$C$19),700))-1)*0.000001</f>
        <v>52.1893628738758</v>
      </c>
    </row>
    <row r="33" customFormat="false" ht="12.75" hidden="false" customHeight="true" outlineLevel="0" collapsed="false">
      <c r="B33" s="22" t="n">
        <v>23</v>
      </c>
      <c r="C33" s="23" t="n">
        <f aca="false">'IR Calculator'!C14+(23-0.5)*('IR Calculator'!C15-'IR Calculator'!C14)/MIN('IR Calculator'!C16,500)</f>
        <v>8.09</v>
      </c>
      <c r="D33" s="24" t="n">
        <f aca="false">('IR Calculator'!C15-'IR Calculator'!C14)/MIN('IR Calculator'!C16,500)</f>
        <v>0.004</v>
      </c>
      <c r="E33" s="25" t="n">
        <f aca="false">(2*'IR Calculator'!$C$5*'IR Calculator'!$C$6^2/((('IR Calculator'!C14+(23-0.5)*('IR Calculator'!C15-'IR Calculator'!C14)/MIN('IR Calculator'!C16,500))*0.000001)^5))/(EXP(MIN('IR Calculator'!$C$5*'IR Calculator'!$C$6/((('IR Calculator'!C14+(23-0.5)*('IR Calculator'!C15-'IR Calculator'!C14)/MIN('IR Calculator'!C16,500))*0.000001)*'IR Calculator'!$C$7*'IR Calculator'!$C$19),700))-1)*0.000001</f>
        <v>52.1704650296405</v>
      </c>
    </row>
    <row r="34" customFormat="false" ht="12.75" hidden="false" customHeight="true" outlineLevel="0" collapsed="false">
      <c r="B34" s="26" t="n">
        <v>24</v>
      </c>
      <c r="C34" s="27" t="n">
        <f aca="false">'IR Calculator'!C14+(24-0.5)*('IR Calculator'!C15-'IR Calculator'!C14)/MIN('IR Calculator'!C16,500)</f>
        <v>8.094</v>
      </c>
      <c r="D34" s="28" t="n">
        <f aca="false">('IR Calculator'!C15-'IR Calculator'!C14)/MIN('IR Calculator'!C16,500)</f>
        <v>0.004</v>
      </c>
      <c r="E34" s="29" t="n">
        <f aca="false">(2*'IR Calculator'!$C$5*'IR Calculator'!$C$6^2/((('IR Calculator'!C14+(24-0.5)*('IR Calculator'!C15-'IR Calculator'!C14)/MIN('IR Calculator'!C16,500))*0.000001)^5))/(EXP(MIN('IR Calculator'!$C$5*'IR Calculator'!$C$6/((('IR Calculator'!C14+(24-0.5)*('IR Calculator'!C15-'IR Calculator'!C14)/MIN('IR Calculator'!C16,500))*0.000001)*'IR Calculator'!$C$7*'IR Calculator'!$C$19),700))-1)*0.000001</f>
        <v>52.1515324496388</v>
      </c>
    </row>
    <row r="35" customFormat="false" ht="12.75" hidden="false" customHeight="true" outlineLevel="0" collapsed="false">
      <c r="B35" s="22" t="n">
        <v>25</v>
      </c>
      <c r="C35" s="23" t="n">
        <f aca="false">'IR Calculator'!C14+(25-0.5)*('IR Calculator'!C15-'IR Calculator'!C14)/MIN('IR Calculator'!C16,500)</f>
        <v>8.098</v>
      </c>
      <c r="D35" s="24" t="n">
        <f aca="false">('IR Calculator'!C15-'IR Calculator'!C14)/MIN('IR Calculator'!C16,500)</f>
        <v>0.004</v>
      </c>
      <c r="E35" s="25" t="n">
        <f aca="false">(2*'IR Calculator'!$C$5*'IR Calculator'!$C$6^2/((('IR Calculator'!C14+(25-0.5)*('IR Calculator'!C15-'IR Calculator'!C14)/MIN('IR Calculator'!C16,500))*0.000001)^5))/(EXP(MIN('IR Calculator'!$C$5*'IR Calculator'!$C$6/((('IR Calculator'!C14+(25-0.5)*('IR Calculator'!C15-'IR Calculator'!C14)/MIN('IR Calculator'!C16,500))*0.000001)*'IR Calculator'!$C$7*'IR Calculator'!$C$19),700))-1)*0.000001</f>
        <v>52.1325652719896</v>
      </c>
    </row>
    <row r="36" customFormat="false" ht="12.75" hidden="false" customHeight="true" outlineLevel="0" collapsed="false">
      <c r="B36" s="26" t="n">
        <v>26</v>
      </c>
      <c r="C36" s="27" t="n">
        <f aca="false">'IR Calculator'!C14+(26-0.5)*('IR Calculator'!C15-'IR Calculator'!C14)/MIN('IR Calculator'!C16,500)</f>
        <v>8.102</v>
      </c>
      <c r="D36" s="28" t="n">
        <f aca="false">('IR Calculator'!C15-'IR Calculator'!C14)/MIN('IR Calculator'!C16,500)</f>
        <v>0.004</v>
      </c>
      <c r="E36" s="29" t="n">
        <f aca="false">(2*'IR Calculator'!$C$5*'IR Calculator'!$C$6^2/((('IR Calculator'!C14+(26-0.5)*('IR Calculator'!C15-'IR Calculator'!C14)/MIN('IR Calculator'!C16,500))*0.000001)^5))/(EXP(MIN('IR Calculator'!$C$5*'IR Calculator'!$C$6/((('IR Calculator'!C14+(26-0.5)*('IR Calculator'!C15-'IR Calculator'!C14)/MIN('IR Calculator'!C16,500))*0.000001)*'IR Calculator'!$C$7*'IR Calculator'!$C$19),700))-1)*0.000001</f>
        <v>52.1135636345179</v>
      </c>
    </row>
    <row r="37" customFormat="false" ht="12.75" hidden="false" customHeight="true" outlineLevel="0" collapsed="false">
      <c r="B37" s="22" t="n">
        <v>27</v>
      </c>
      <c r="C37" s="23" t="n">
        <f aca="false">'IR Calculator'!C14+(27-0.5)*('IR Calculator'!C15-'IR Calculator'!C14)/MIN('IR Calculator'!C16,500)</f>
        <v>8.106</v>
      </c>
      <c r="D37" s="24" t="n">
        <f aca="false">('IR Calculator'!C15-'IR Calculator'!C14)/MIN('IR Calculator'!C16,500)</f>
        <v>0.004</v>
      </c>
      <c r="E37" s="25" t="n">
        <f aca="false">(2*'IR Calculator'!$C$5*'IR Calculator'!$C$6^2/((('IR Calculator'!C14+(27-0.5)*('IR Calculator'!C15-'IR Calculator'!C14)/MIN('IR Calculator'!C16,500))*0.000001)^5))/(EXP(MIN('IR Calculator'!$C$5*'IR Calculator'!$C$6/((('IR Calculator'!C14+(27-0.5)*('IR Calculator'!C15-'IR Calculator'!C14)/MIN('IR Calculator'!C16,500))*0.000001)*'IR Calculator'!$C$7*'IR Calculator'!$C$19),700))-1)*0.000001</f>
        <v>52.0945276747556</v>
      </c>
    </row>
    <row r="38" customFormat="false" ht="12.75" hidden="false" customHeight="true" outlineLevel="0" collapsed="false">
      <c r="B38" s="26" t="n">
        <v>28</v>
      </c>
      <c r="C38" s="27" t="n">
        <f aca="false">'IR Calculator'!C14+(28-0.5)*('IR Calculator'!C15-'IR Calculator'!C14)/MIN('IR Calculator'!C16,500)</f>
        <v>8.11</v>
      </c>
      <c r="D38" s="28" t="n">
        <f aca="false">('IR Calculator'!C15-'IR Calculator'!C14)/MIN('IR Calculator'!C16,500)</f>
        <v>0.004</v>
      </c>
      <c r="E38" s="29" t="n">
        <f aca="false">(2*'IR Calculator'!$C$5*'IR Calculator'!$C$6^2/((('IR Calculator'!C14+(28-0.5)*('IR Calculator'!C15-'IR Calculator'!C14)/MIN('IR Calculator'!C16,500))*0.000001)^5))/(EXP(MIN('IR Calculator'!$C$5*'IR Calculator'!$C$6/((('IR Calculator'!C14+(28-0.5)*('IR Calculator'!C15-'IR Calculator'!C14)/MIN('IR Calculator'!C16,500))*0.000001)*'IR Calculator'!$C$7*'IR Calculator'!$C$19),700))-1)*0.000001</f>
        <v>52.0754575299413</v>
      </c>
    </row>
    <row r="39" customFormat="false" ht="12.75" hidden="false" customHeight="true" outlineLevel="0" collapsed="false">
      <c r="B39" s="22" t="n">
        <v>29</v>
      </c>
      <c r="C39" s="23" t="n">
        <f aca="false">'IR Calculator'!C14+(29-0.5)*('IR Calculator'!C15-'IR Calculator'!C14)/MIN('IR Calculator'!C16,500)</f>
        <v>8.114</v>
      </c>
      <c r="D39" s="24" t="n">
        <f aca="false">('IR Calculator'!C15-'IR Calculator'!C14)/MIN('IR Calculator'!C16,500)</f>
        <v>0.004</v>
      </c>
      <c r="E39" s="25" t="n">
        <f aca="false">(2*'IR Calculator'!$C$5*'IR Calculator'!$C$6^2/((('IR Calculator'!C14+(29-0.5)*('IR Calculator'!C15-'IR Calculator'!C14)/MIN('IR Calculator'!C16,500))*0.000001)^5))/(EXP(MIN('IR Calculator'!$C$5*'IR Calculator'!$C$6/((('IR Calculator'!C14+(29-0.5)*('IR Calculator'!C15-'IR Calculator'!C14)/MIN('IR Calculator'!C16,500))*0.000001)*'IR Calculator'!$C$7*'IR Calculator'!$C$19),700))-1)*0.000001</f>
        <v>52.0563533370203</v>
      </c>
    </row>
    <row r="40" customFormat="false" ht="12.75" hidden="false" customHeight="true" outlineLevel="0" collapsed="false">
      <c r="B40" s="26" t="n">
        <v>30</v>
      </c>
      <c r="C40" s="27" t="n">
        <f aca="false">'IR Calculator'!C14+(30-0.5)*('IR Calculator'!C15-'IR Calculator'!C14)/MIN('IR Calculator'!C16,500)</f>
        <v>8.118</v>
      </c>
      <c r="D40" s="28" t="n">
        <f aca="false">('IR Calculator'!C15-'IR Calculator'!C14)/MIN('IR Calculator'!C16,500)</f>
        <v>0.004</v>
      </c>
      <c r="E40" s="29" t="n">
        <f aca="false">(2*'IR Calculator'!$C$5*'IR Calculator'!$C$6^2/((('IR Calculator'!C14+(30-0.5)*('IR Calculator'!C15-'IR Calculator'!C14)/MIN('IR Calculator'!C16,500))*0.000001)^5))/(EXP(MIN('IR Calculator'!$C$5*'IR Calculator'!$C$6/((('IR Calculator'!C14+(30-0.5)*('IR Calculator'!C15-'IR Calculator'!C14)/MIN('IR Calculator'!C16,500))*0.000001)*'IR Calculator'!$C$7*'IR Calculator'!$C$19),700))-1)*0.000001</f>
        <v>52.0372152326453</v>
      </c>
    </row>
    <row r="41" customFormat="false" ht="12.75" hidden="false" customHeight="true" outlineLevel="0" collapsed="false">
      <c r="B41" s="22" t="n">
        <v>31</v>
      </c>
      <c r="C41" s="23" t="n">
        <f aca="false">'IR Calculator'!C14+(31-0.5)*('IR Calculator'!C15-'IR Calculator'!C14)/MIN('IR Calculator'!C16,500)</f>
        <v>8.122</v>
      </c>
      <c r="D41" s="24" t="n">
        <f aca="false">('IR Calculator'!C15-'IR Calculator'!C14)/MIN('IR Calculator'!C16,500)</f>
        <v>0.004</v>
      </c>
      <c r="E41" s="25" t="n">
        <f aca="false">(2*'IR Calculator'!$C$5*'IR Calculator'!$C$6^2/((('IR Calculator'!C14+(31-0.5)*('IR Calculator'!C15-'IR Calculator'!C14)/MIN('IR Calculator'!C16,500))*0.000001)^5))/(EXP(MIN('IR Calculator'!$C$5*'IR Calculator'!$C$6/((('IR Calculator'!C14+(31-0.5)*('IR Calculator'!C15-'IR Calculator'!C14)/MIN('IR Calculator'!C16,500))*0.000001)*'IR Calculator'!$C$7*'IR Calculator'!$C$19),700))-1)*0.000001</f>
        <v>52.0180433531767</v>
      </c>
    </row>
    <row r="42" customFormat="false" ht="12.75" hidden="false" customHeight="true" outlineLevel="0" collapsed="false">
      <c r="B42" s="26" t="n">
        <v>32</v>
      </c>
      <c r="C42" s="27" t="n">
        <f aca="false">'IR Calculator'!C14+(32-0.5)*('IR Calculator'!C15-'IR Calculator'!C14)/MIN('IR Calculator'!C16,500)</f>
        <v>8.126</v>
      </c>
      <c r="D42" s="28" t="n">
        <f aca="false">('IR Calculator'!C15-'IR Calculator'!C14)/MIN('IR Calculator'!C16,500)</f>
        <v>0.004</v>
      </c>
      <c r="E42" s="29" t="n">
        <f aca="false">(2*'IR Calculator'!$C$5*'IR Calculator'!$C$6^2/((('IR Calculator'!C14+(32-0.5)*('IR Calculator'!C15-'IR Calculator'!C14)/MIN('IR Calculator'!C16,500))*0.000001)^5))/(EXP(MIN('IR Calculator'!$C$5*'IR Calculator'!$C$6/((('IR Calculator'!C14+(32-0.5)*('IR Calculator'!C15-'IR Calculator'!C14)/MIN('IR Calculator'!C16,500))*0.000001)*'IR Calculator'!$C$7*'IR Calculator'!$C$19),700))-1)*0.000001</f>
        <v>51.998837834682</v>
      </c>
    </row>
    <row r="43" customFormat="false" ht="12.75" hidden="false" customHeight="true" outlineLevel="0" collapsed="false">
      <c r="B43" s="22" t="n">
        <v>33</v>
      </c>
      <c r="C43" s="23" t="n">
        <f aca="false">'IR Calculator'!C14+(33-0.5)*('IR Calculator'!C15-'IR Calculator'!C14)/MIN('IR Calculator'!C16,500)</f>
        <v>8.13</v>
      </c>
      <c r="D43" s="24" t="n">
        <f aca="false">('IR Calculator'!C15-'IR Calculator'!C14)/MIN('IR Calculator'!C16,500)</f>
        <v>0.004</v>
      </c>
      <c r="E43" s="25" t="n">
        <f aca="false">(2*'IR Calculator'!$C$5*'IR Calculator'!$C$6^2/((('IR Calculator'!C14+(33-0.5)*('IR Calculator'!C15-'IR Calculator'!C14)/MIN('IR Calculator'!C16,500))*0.000001)^5))/(EXP(MIN('IR Calculator'!$C$5*'IR Calculator'!$C$6/((('IR Calculator'!C14+(33-0.5)*('IR Calculator'!C15-'IR Calculator'!C14)/MIN('IR Calculator'!C16,500))*0.000001)*'IR Calculator'!$C$7*'IR Calculator'!$C$19),700))-1)*0.000001</f>
        <v>51.9795988129367</v>
      </c>
    </row>
    <row r="44" customFormat="false" ht="12.75" hidden="false" customHeight="true" outlineLevel="0" collapsed="false">
      <c r="B44" s="26" t="n">
        <v>34</v>
      </c>
      <c r="C44" s="27" t="n">
        <f aca="false">'IR Calculator'!C14+(34-0.5)*('IR Calculator'!C15-'IR Calculator'!C14)/MIN('IR Calculator'!C16,500)</f>
        <v>8.134</v>
      </c>
      <c r="D44" s="28" t="n">
        <f aca="false">('IR Calculator'!C15-'IR Calculator'!C14)/MIN('IR Calculator'!C16,500)</f>
        <v>0.004</v>
      </c>
      <c r="E44" s="29" t="n">
        <f aca="false">(2*'IR Calculator'!$C$5*'IR Calculator'!$C$6^2/((('IR Calculator'!C14+(34-0.5)*('IR Calculator'!C15-'IR Calculator'!C14)/MIN('IR Calculator'!C16,500))*0.000001)^5))/(EXP(MIN('IR Calculator'!$C$5*'IR Calculator'!$C$6/((('IR Calculator'!C14+(34-0.5)*('IR Calculator'!C15-'IR Calculator'!C14)/MIN('IR Calculator'!C16,500))*0.000001)*'IR Calculator'!$C$7*'IR Calculator'!$C$19),700))-1)*0.000001</f>
        <v>51.9603264234248</v>
      </c>
    </row>
    <row r="45" customFormat="false" ht="12.75" hidden="false" customHeight="true" outlineLevel="0" collapsed="false">
      <c r="B45" s="22" t="n">
        <v>35</v>
      </c>
      <c r="C45" s="23" t="n">
        <f aca="false">'IR Calculator'!C14+(35-0.5)*('IR Calculator'!C15-'IR Calculator'!C14)/MIN('IR Calculator'!C16,500)</f>
        <v>8.138</v>
      </c>
      <c r="D45" s="24" t="n">
        <f aca="false">('IR Calculator'!C15-'IR Calculator'!C14)/MIN('IR Calculator'!C16,500)</f>
        <v>0.004</v>
      </c>
      <c r="E45" s="25" t="n">
        <f aca="false">(2*'IR Calculator'!$C$5*'IR Calculator'!$C$6^2/((('IR Calculator'!C14+(35-0.5)*('IR Calculator'!C15-'IR Calculator'!C14)/MIN('IR Calculator'!C16,500))*0.000001)^5))/(EXP(MIN('IR Calculator'!$C$5*'IR Calculator'!$C$6/((('IR Calculator'!C14+(35-0.5)*('IR Calculator'!C15-'IR Calculator'!C14)/MIN('IR Calculator'!C16,500))*0.000001)*'IR Calculator'!$C$7*'IR Calculator'!$C$19),700))-1)*0.000001</f>
        <v>51.9410208013383</v>
      </c>
    </row>
    <row r="46" customFormat="false" ht="12.75" hidden="false" customHeight="true" outlineLevel="0" collapsed="false">
      <c r="B46" s="26" t="n">
        <v>36</v>
      </c>
      <c r="C46" s="27" t="n">
        <f aca="false">'IR Calculator'!C14+(36-0.5)*('IR Calculator'!C15-'IR Calculator'!C14)/MIN('IR Calculator'!C16,500)</f>
        <v>8.142</v>
      </c>
      <c r="D46" s="28" t="n">
        <f aca="false">('IR Calculator'!C15-'IR Calculator'!C14)/MIN('IR Calculator'!C16,500)</f>
        <v>0.004</v>
      </c>
      <c r="E46" s="29" t="n">
        <f aca="false">(2*'IR Calculator'!$C$5*'IR Calculator'!$C$6^2/((('IR Calculator'!C14+(36-0.5)*('IR Calculator'!C15-'IR Calculator'!C14)/MIN('IR Calculator'!C16,500))*0.000001)^5))/(EXP(MIN('IR Calculator'!$C$5*'IR Calculator'!$C$6/((('IR Calculator'!C14+(36-0.5)*('IR Calculator'!C15-'IR Calculator'!C14)/MIN('IR Calculator'!C16,500))*0.000001)*'IR Calculator'!$C$7*'IR Calculator'!$C$19),700))-1)*0.000001</f>
        <v>51.9216820815774</v>
      </c>
    </row>
    <row r="47" customFormat="false" ht="12.75" hidden="false" customHeight="true" outlineLevel="0" collapsed="false">
      <c r="B47" s="22" t="n">
        <v>37</v>
      </c>
      <c r="C47" s="23" t="n">
        <f aca="false">'IR Calculator'!C14+(37-0.5)*('IR Calculator'!C15-'IR Calculator'!C14)/MIN('IR Calculator'!C16,500)</f>
        <v>8.146</v>
      </c>
      <c r="D47" s="24" t="n">
        <f aca="false">('IR Calculator'!C15-'IR Calculator'!C14)/MIN('IR Calculator'!C16,500)</f>
        <v>0.004</v>
      </c>
      <c r="E47" s="25" t="n">
        <f aca="false">(2*'IR Calculator'!$C$5*'IR Calculator'!$C$6^2/((('IR Calculator'!C14+(37-0.5)*('IR Calculator'!C15-'IR Calculator'!C14)/MIN('IR Calculator'!C16,500))*0.000001)^5))/(EXP(MIN('IR Calculator'!$C$5*'IR Calculator'!$C$6/((('IR Calculator'!C14+(37-0.5)*('IR Calculator'!C15-'IR Calculator'!C14)/MIN('IR Calculator'!C16,500))*0.000001)*'IR Calculator'!$C$7*'IR Calculator'!$C$19),700))-1)*0.000001</f>
        <v>51.9023103987516</v>
      </c>
    </row>
    <row r="48" customFormat="false" ht="12.75" hidden="false" customHeight="true" outlineLevel="0" collapsed="false">
      <c r="B48" s="26" t="n">
        <v>38</v>
      </c>
      <c r="C48" s="27" t="n">
        <f aca="false">'IR Calculator'!C14+(38-0.5)*('IR Calculator'!C15-'IR Calculator'!C14)/MIN('IR Calculator'!C16,500)</f>
        <v>8.15</v>
      </c>
      <c r="D48" s="28" t="n">
        <f aca="false">('IR Calculator'!C15-'IR Calculator'!C14)/MIN('IR Calculator'!C16,500)</f>
        <v>0.004</v>
      </c>
      <c r="E48" s="29" t="n">
        <f aca="false">(2*'IR Calculator'!$C$5*'IR Calculator'!$C$6^2/((('IR Calculator'!C14+(38-0.5)*('IR Calculator'!C15-'IR Calculator'!C14)/MIN('IR Calculator'!C16,500))*0.000001)^5))/(EXP(MIN('IR Calculator'!$C$5*'IR Calculator'!$C$6/((('IR Calculator'!C14+(38-0.5)*('IR Calculator'!C15-'IR Calculator'!C14)/MIN('IR Calculator'!C16,500))*0.000001)*'IR Calculator'!$C$7*'IR Calculator'!$C$19),700))-1)*0.000001</f>
        <v>51.8829058871792</v>
      </c>
    </row>
    <row r="49" customFormat="false" ht="12.75" hidden="false" customHeight="true" outlineLevel="0" collapsed="false">
      <c r="B49" s="22" t="n">
        <v>39</v>
      </c>
      <c r="C49" s="23" t="n">
        <f aca="false">'IR Calculator'!C14+(39-0.5)*('IR Calculator'!C15-'IR Calculator'!C14)/MIN('IR Calculator'!C16,500)</f>
        <v>8.154</v>
      </c>
      <c r="D49" s="24" t="n">
        <f aca="false">('IR Calculator'!C15-'IR Calculator'!C14)/MIN('IR Calculator'!C16,500)</f>
        <v>0.004</v>
      </c>
      <c r="E49" s="25" t="n">
        <f aca="false">(2*'IR Calculator'!$C$5*'IR Calculator'!$C$6^2/((('IR Calculator'!C14+(39-0.5)*('IR Calculator'!C15-'IR Calculator'!C14)/MIN('IR Calculator'!C16,500))*0.000001)^5))/(EXP(MIN('IR Calculator'!$C$5*'IR Calculator'!$C$6/((('IR Calculator'!C14+(39-0.5)*('IR Calculator'!C15-'IR Calculator'!C14)/MIN('IR Calculator'!C16,500))*0.000001)*'IR Calculator'!$C$7*'IR Calculator'!$C$19),700))-1)*0.000001</f>
        <v>51.8634686808877</v>
      </c>
    </row>
    <row r="50" customFormat="false" ht="12.75" hidden="false" customHeight="true" outlineLevel="0" collapsed="false">
      <c r="B50" s="26" t="n">
        <v>40</v>
      </c>
      <c r="C50" s="27" t="n">
        <f aca="false">'IR Calculator'!C14+(40-0.5)*('IR Calculator'!C15-'IR Calculator'!C14)/MIN('IR Calculator'!C16,500)</f>
        <v>8.158</v>
      </c>
      <c r="D50" s="28" t="n">
        <f aca="false">('IR Calculator'!C15-'IR Calculator'!C14)/MIN('IR Calculator'!C16,500)</f>
        <v>0.004</v>
      </c>
      <c r="E50" s="29" t="n">
        <f aca="false">(2*'IR Calculator'!$C$5*'IR Calculator'!$C$6^2/((('IR Calculator'!C14+(40-0.5)*('IR Calculator'!C15-'IR Calculator'!C14)/MIN('IR Calculator'!C16,500))*0.000001)^5))/(EXP(MIN('IR Calculator'!$C$5*'IR Calculator'!$C$6/((('IR Calculator'!C14+(40-0.5)*('IR Calculator'!C15-'IR Calculator'!C14)/MIN('IR Calculator'!C16,500))*0.000001)*'IR Calculator'!$C$7*'IR Calculator'!$C$19),700))-1)*0.000001</f>
        <v>51.8439989136141</v>
      </c>
    </row>
    <row r="51" customFormat="false" ht="12.75" hidden="false" customHeight="true" outlineLevel="0" collapsed="false">
      <c r="B51" s="22" t="n">
        <v>41</v>
      </c>
      <c r="C51" s="23" t="n">
        <f aca="false">'IR Calculator'!C14+(41-0.5)*('IR Calculator'!C15-'IR Calculator'!C14)/MIN('IR Calculator'!C16,500)</f>
        <v>8.162</v>
      </c>
      <c r="D51" s="24" t="n">
        <f aca="false">('IR Calculator'!C15-'IR Calculator'!C14)/MIN('IR Calculator'!C16,500)</f>
        <v>0.004</v>
      </c>
      <c r="E51" s="25" t="n">
        <f aca="false">(2*'IR Calculator'!$C$5*'IR Calculator'!$C$6^2/((('IR Calculator'!C14+(41-0.5)*('IR Calculator'!C15-'IR Calculator'!C14)/MIN('IR Calculator'!C16,500))*0.000001)^5))/(EXP(MIN('IR Calculator'!$C$5*'IR Calculator'!$C$6/((('IR Calculator'!C14+(41-0.5)*('IR Calculator'!C15-'IR Calculator'!C14)/MIN('IR Calculator'!C16,500))*0.000001)*'IR Calculator'!$C$7*'IR Calculator'!$C$19),700))-1)*0.000001</f>
        <v>51.8244967188049</v>
      </c>
    </row>
    <row r="52" customFormat="false" ht="12.75" hidden="false" customHeight="true" outlineLevel="0" collapsed="false">
      <c r="B52" s="26" t="n">
        <v>42</v>
      </c>
      <c r="C52" s="27" t="n">
        <f aca="false">'IR Calculator'!C14+(42-0.5)*('IR Calculator'!C15-'IR Calculator'!C14)/MIN('IR Calculator'!C16,500)</f>
        <v>8.166</v>
      </c>
      <c r="D52" s="28" t="n">
        <f aca="false">('IR Calculator'!C15-'IR Calculator'!C14)/MIN('IR Calculator'!C16,500)</f>
        <v>0.004</v>
      </c>
      <c r="E52" s="29" t="n">
        <f aca="false">(2*'IR Calculator'!$C$5*'IR Calculator'!$C$6^2/((('IR Calculator'!C14+(42-0.5)*('IR Calculator'!C15-'IR Calculator'!C14)/MIN('IR Calculator'!C16,500))*0.000001)^5))/(EXP(MIN('IR Calculator'!$C$5*'IR Calculator'!$C$6/((('IR Calculator'!C14+(42-0.5)*('IR Calculator'!C15-'IR Calculator'!C14)/MIN('IR Calculator'!C16,500))*0.000001)*'IR Calculator'!$C$7*'IR Calculator'!$C$19),700))-1)*0.000001</f>
        <v>51.8049622296168</v>
      </c>
    </row>
    <row r="53" customFormat="false" ht="12.75" hidden="false" customHeight="true" outlineLevel="0" collapsed="false">
      <c r="B53" s="22" t="n">
        <v>43</v>
      </c>
      <c r="C53" s="23" t="n">
        <f aca="false">'IR Calculator'!C14+(43-0.5)*('IR Calculator'!C15-'IR Calculator'!C14)/MIN('IR Calculator'!C16,500)</f>
        <v>8.17</v>
      </c>
      <c r="D53" s="24" t="n">
        <f aca="false">('IR Calculator'!C15-'IR Calculator'!C14)/MIN('IR Calculator'!C16,500)</f>
        <v>0.004</v>
      </c>
      <c r="E53" s="25" t="n">
        <f aca="false">(2*'IR Calculator'!$C$5*'IR Calculator'!$C$6^2/((('IR Calculator'!C14+(43-0.5)*('IR Calculator'!C15-'IR Calculator'!C14)/MIN('IR Calculator'!C16,500))*0.000001)^5))/(EXP(MIN('IR Calculator'!$C$5*'IR Calculator'!$C$6/((('IR Calculator'!C14+(43-0.5)*('IR Calculator'!C15-'IR Calculator'!C14)/MIN('IR Calculator'!C16,500))*0.000001)*'IR Calculator'!$C$7*'IR Calculator'!$C$19),700))-1)*0.000001</f>
        <v>51.7853955789167</v>
      </c>
    </row>
    <row r="54" customFormat="false" ht="12.75" hidden="false" customHeight="true" outlineLevel="0" collapsed="false">
      <c r="B54" s="26" t="n">
        <v>44</v>
      </c>
      <c r="C54" s="27" t="n">
        <f aca="false">'IR Calculator'!C14+(44-0.5)*('IR Calculator'!C15-'IR Calculator'!C14)/MIN('IR Calculator'!C16,500)</f>
        <v>8.174</v>
      </c>
      <c r="D54" s="28" t="n">
        <f aca="false">('IR Calculator'!C15-'IR Calculator'!C14)/MIN('IR Calculator'!C16,500)</f>
        <v>0.004</v>
      </c>
      <c r="E54" s="29" t="n">
        <f aca="false">(2*'IR Calculator'!$C$5*'IR Calculator'!$C$6^2/((('IR Calculator'!C14+(44-0.5)*('IR Calculator'!C15-'IR Calculator'!C14)/MIN('IR Calculator'!C16,500))*0.000001)^5))/(EXP(MIN('IR Calculator'!$C$5*'IR Calculator'!$C$6/((('IR Calculator'!C14+(44-0.5)*('IR Calculator'!C15-'IR Calculator'!C14)/MIN('IR Calculator'!C16,500))*0.000001)*'IR Calculator'!$C$7*'IR Calculator'!$C$19),700))-1)*0.000001</f>
        <v>51.7657968992815</v>
      </c>
    </row>
    <row r="55" customFormat="false" ht="12.75" hidden="false" customHeight="true" outlineLevel="0" collapsed="false">
      <c r="B55" s="22" t="n">
        <v>45</v>
      </c>
      <c r="C55" s="23" t="n">
        <f aca="false">'IR Calculator'!C14+(45-0.5)*('IR Calculator'!C15-'IR Calculator'!C14)/MIN('IR Calculator'!C16,500)</f>
        <v>8.178</v>
      </c>
      <c r="D55" s="24" t="n">
        <f aca="false">('IR Calculator'!C15-'IR Calculator'!C14)/MIN('IR Calculator'!C16,500)</f>
        <v>0.004</v>
      </c>
      <c r="E55" s="25" t="n">
        <f aca="false">(2*'IR Calculator'!$C$5*'IR Calculator'!$C$6^2/((('IR Calculator'!C14+(45-0.5)*('IR Calculator'!C15-'IR Calculator'!C14)/MIN('IR Calculator'!C16,500))*0.000001)^5))/(EXP(MIN('IR Calculator'!$C$5*'IR Calculator'!$C$6/((('IR Calculator'!C14+(45-0.5)*('IR Calculator'!C15-'IR Calculator'!C14)/MIN('IR Calculator'!C16,500))*0.000001)*'IR Calculator'!$C$7*'IR Calculator'!$C$19),700))-1)*0.000001</f>
        <v>51.7461663229993</v>
      </c>
    </row>
    <row r="56" customFormat="false" ht="12.75" hidden="false" customHeight="true" outlineLevel="0" collapsed="false">
      <c r="B56" s="26" t="n">
        <v>46</v>
      </c>
      <c r="C56" s="27" t="n">
        <f aca="false">'IR Calculator'!C14+(46-0.5)*('IR Calculator'!C15-'IR Calculator'!C14)/MIN('IR Calculator'!C16,500)</f>
        <v>8.182</v>
      </c>
      <c r="D56" s="28" t="n">
        <f aca="false">('IR Calculator'!C15-'IR Calculator'!C14)/MIN('IR Calculator'!C16,500)</f>
        <v>0.004</v>
      </c>
      <c r="E56" s="29" t="n">
        <f aca="false">(2*'IR Calculator'!$C$5*'IR Calculator'!$C$6^2/((('IR Calculator'!C14+(46-0.5)*('IR Calculator'!C15-'IR Calculator'!C14)/MIN('IR Calculator'!C16,500))*0.000001)^5))/(EXP(MIN('IR Calculator'!$C$5*'IR Calculator'!$C$6/((('IR Calculator'!C14+(46-0.5)*('IR Calculator'!C15-'IR Calculator'!C14)/MIN('IR Calculator'!C16,500))*0.000001)*'IR Calculator'!$C$7*'IR Calculator'!$C$19),700))-1)*0.000001</f>
        <v>51.7265039820687</v>
      </c>
    </row>
    <row r="57" customFormat="false" ht="12.75" hidden="false" customHeight="true" outlineLevel="0" collapsed="false">
      <c r="B57" s="22" t="n">
        <v>47</v>
      </c>
      <c r="C57" s="23" t="n">
        <f aca="false">'IR Calculator'!C14+(47-0.5)*('IR Calculator'!C15-'IR Calculator'!C14)/MIN('IR Calculator'!C16,500)</f>
        <v>8.186</v>
      </c>
      <c r="D57" s="24" t="n">
        <f aca="false">('IR Calculator'!C15-'IR Calculator'!C14)/MIN('IR Calculator'!C16,500)</f>
        <v>0.004</v>
      </c>
      <c r="E57" s="25" t="n">
        <f aca="false">(2*'IR Calculator'!$C$5*'IR Calculator'!$C$6^2/((('IR Calculator'!C14+(47-0.5)*('IR Calculator'!C15-'IR Calculator'!C14)/MIN('IR Calculator'!C16,500))*0.000001)^5))/(EXP(MIN('IR Calculator'!$C$5*'IR Calculator'!$C$6/((('IR Calculator'!C14+(47-0.5)*('IR Calculator'!C15-'IR Calculator'!C14)/MIN('IR Calculator'!C16,500))*0.000001)*'IR Calculator'!$C$7*'IR Calculator'!$C$19),700))-1)*0.000001</f>
        <v>51.7068100081998</v>
      </c>
    </row>
    <row r="58" customFormat="false" ht="12.75" hidden="false" customHeight="true" outlineLevel="0" collapsed="false">
      <c r="B58" s="26" t="n">
        <v>48</v>
      </c>
      <c r="C58" s="27" t="n">
        <f aca="false">'IR Calculator'!C14+(48-0.5)*('IR Calculator'!C15-'IR Calculator'!C14)/MIN('IR Calculator'!C16,500)</f>
        <v>8.19</v>
      </c>
      <c r="D58" s="28" t="n">
        <f aca="false">('IR Calculator'!C15-'IR Calculator'!C14)/MIN('IR Calculator'!C16,500)</f>
        <v>0.004</v>
      </c>
      <c r="E58" s="29" t="n">
        <f aca="false">(2*'IR Calculator'!$C$5*'IR Calculator'!$C$6^2/((('IR Calculator'!C14+(48-0.5)*('IR Calculator'!C15-'IR Calculator'!C14)/MIN('IR Calculator'!C16,500))*0.000001)^5))/(EXP(MIN('IR Calculator'!$C$5*'IR Calculator'!$C$6/((('IR Calculator'!C14+(48-0.5)*('IR Calculator'!C15-'IR Calculator'!C14)/MIN('IR Calculator'!C16,500))*0.000001)*'IR Calculator'!$C$7*'IR Calculator'!$C$19),700))-1)*0.000001</f>
        <v>51.6870845328138</v>
      </c>
    </row>
    <row r="59" customFormat="false" ht="12.75" hidden="false" customHeight="true" outlineLevel="0" collapsed="false">
      <c r="B59" s="22" t="n">
        <v>49</v>
      </c>
      <c r="C59" s="23" t="n">
        <f aca="false">'IR Calculator'!C14+(49-0.5)*('IR Calculator'!C15-'IR Calculator'!C14)/MIN('IR Calculator'!C16,500)</f>
        <v>8.194</v>
      </c>
      <c r="D59" s="24" t="n">
        <f aca="false">('IR Calculator'!C15-'IR Calculator'!C14)/MIN('IR Calculator'!C16,500)</f>
        <v>0.004</v>
      </c>
      <c r="E59" s="25" t="n">
        <f aca="false">(2*'IR Calculator'!$C$5*'IR Calculator'!$C$6^2/((('IR Calculator'!C14+(49-0.5)*('IR Calculator'!C15-'IR Calculator'!C14)/MIN('IR Calculator'!C16,500))*0.000001)^5))/(EXP(MIN('IR Calculator'!$C$5*'IR Calculator'!$C$6/((('IR Calculator'!C14+(49-0.5)*('IR Calculator'!C15-'IR Calculator'!C14)/MIN('IR Calculator'!C16,500))*0.000001)*'IR Calculator'!$C$7*'IR Calculator'!$C$19),700))-1)*0.000001</f>
        <v>51.6673276870437</v>
      </c>
    </row>
    <row r="60" customFormat="false" ht="12.75" hidden="false" customHeight="true" outlineLevel="0" collapsed="false">
      <c r="B60" s="26" t="n">
        <v>50</v>
      </c>
      <c r="C60" s="27" t="n">
        <f aca="false">'IR Calculator'!C14+(50-0.5)*('IR Calculator'!C15-'IR Calculator'!C14)/MIN('IR Calculator'!C16,500)</f>
        <v>8.198</v>
      </c>
      <c r="D60" s="28" t="n">
        <f aca="false">('IR Calculator'!C15-'IR Calculator'!C14)/MIN('IR Calculator'!C16,500)</f>
        <v>0.004</v>
      </c>
      <c r="E60" s="29" t="n">
        <f aca="false">(2*'IR Calculator'!$C$5*'IR Calculator'!$C$6^2/((('IR Calculator'!C14+(50-0.5)*('IR Calculator'!C15-'IR Calculator'!C14)/MIN('IR Calculator'!C16,500))*0.000001)^5))/(EXP(MIN('IR Calculator'!$C$5*'IR Calculator'!$C$6/((('IR Calculator'!C14+(50-0.5)*('IR Calculator'!C15-'IR Calculator'!C14)/MIN('IR Calculator'!C16,500))*0.000001)*'IR Calculator'!$C$7*'IR Calculator'!$C$19),700))-1)*0.000001</f>
        <v>51.6475396017344</v>
      </c>
    </row>
    <row r="61" customFormat="false" ht="12.75" hidden="false" customHeight="true" outlineLevel="0" collapsed="false">
      <c r="B61" s="22" t="n">
        <v>51</v>
      </c>
      <c r="C61" s="23" t="n">
        <f aca="false">'IR Calculator'!C14+(51-0.5)*('IR Calculator'!C15-'IR Calculator'!C14)/MIN('IR Calculator'!C16,500)</f>
        <v>8.202</v>
      </c>
      <c r="D61" s="24" t="n">
        <f aca="false">('IR Calculator'!C15-'IR Calculator'!C14)/MIN('IR Calculator'!C16,500)</f>
        <v>0.004</v>
      </c>
      <c r="E61" s="25" t="n">
        <f aca="false">(2*'IR Calculator'!$C$5*'IR Calculator'!$C$6^2/((('IR Calculator'!C14+(51-0.5)*('IR Calculator'!C15-'IR Calculator'!C14)/MIN('IR Calculator'!C16,500))*0.000001)^5))/(EXP(MIN('IR Calculator'!$C$5*'IR Calculator'!$C$6/((('IR Calculator'!C14+(51-0.5)*('IR Calculator'!C15-'IR Calculator'!C14)/MIN('IR Calculator'!C16,500))*0.000001)*'IR Calculator'!$C$7*'IR Calculator'!$C$19),700))-1)*0.000001</f>
        <v>51.6277204074429</v>
      </c>
    </row>
    <row r="62" customFormat="false" ht="12.75" hidden="false" customHeight="true" outlineLevel="0" collapsed="false">
      <c r="B62" s="26" t="n">
        <v>52</v>
      </c>
      <c r="C62" s="27" t="n">
        <f aca="false">'IR Calculator'!C14+(52-0.5)*('IR Calculator'!C15-'IR Calculator'!C14)/MIN('IR Calculator'!C16,500)</f>
        <v>8.206</v>
      </c>
      <c r="D62" s="28" t="n">
        <f aca="false">('IR Calculator'!C15-'IR Calculator'!C14)/MIN('IR Calculator'!C16,500)</f>
        <v>0.004</v>
      </c>
      <c r="E62" s="29" t="n">
        <f aca="false">(2*'IR Calculator'!$C$5*'IR Calculator'!$C$6^2/((('IR Calculator'!C14+(52-0.5)*('IR Calculator'!C15-'IR Calculator'!C14)/MIN('IR Calculator'!C16,500))*0.000001)^5))/(EXP(MIN('IR Calculator'!$C$5*'IR Calculator'!$C$6/((('IR Calculator'!C14+(52-0.5)*('IR Calculator'!C15-'IR Calculator'!C14)/MIN('IR Calculator'!C16,500))*0.000001)*'IR Calculator'!$C$7*'IR Calculator'!$C$19),700))-1)*0.000001</f>
        <v>51.6078702344388</v>
      </c>
    </row>
    <row r="63" customFormat="false" ht="12.75" hidden="false" customHeight="true" outlineLevel="0" collapsed="false">
      <c r="B63" s="22" t="n">
        <v>53</v>
      </c>
      <c r="C63" s="23" t="n">
        <f aca="false">'IR Calculator'!C14+(53-0.5)*('IR Calculator'!C15-'IR Calculator'!C14)/MIN('IR Calculator'!C16,500)</f>
        <v>8.21</v>
      </c>
      <c r="D63" s="24" t="n">
        <f aca="false">('IR Calculator'!C15-'IR Calculator'!C14)/MIN('IR Calculator'!C16,500)</f>
        <v>0.004</v>
      </c>
      <c r="E63" s="25" t="n">
        <f aca="false">(2*'IR Calculator'!$C$5*'IR Calculator'!$C$6^2/((('IR Calculator'!C14+(53-0.5)*('IR Calculator'!C15-'IR Calculator'!C14)/MIN('IR Calculator'!C16,500))*0.000001)^5))/(EXP(MIN('IR Calculator'!$C$5*'IR Calculator'!$C$6/((('IR Calculator'!C14+(53-0.5)*('IR Calculator'!C15-'IR Calculator'!C14)/MIN('IR Calculator'!C16,500))*0.000001)*'IR Calculator'!$C$7*'IR Calculator'!$C$19),700))-1)*0.000001</f>
        <v>51.5879892127042</v>
      </c>
    </row>
    <row r="64" customFormat="false" ht="12.75" hidden="false" customHeight="true" outlineLevel="0" collapsed="false">
      <c r="B64" s="26" t="n">
        <v>54</v>
      </c>
      <c r="C64" s="27" t="n">
        <f aca="false">'IR Calculator'!C14+(54-0.5)*('IR Calculator'!C15-'IR Calculator'!C14)/MIN('IR Calculator'!C16,500)</f>
        <v>8.214</v>
      </c>
      <c r="D64" s="28" t="n">
        <f aca="false">('IR Calculator'!C15-'IR Calculator'!C14)/MIN('IR Calculator'!C16,500)</f>
        <v>0.004</v>
      </c>
      <c r="E64" s="29" t="n">
        <f aca="false">(2*'IR Calculator'!$C$5*'IR Calculator'!$C$6^2/((('IR Calculator'!C14+(54-0.5)*('IR Calculator'!C15-'IR Calculator'!C14)/MIN('IR Calculator'!C16,500))*0.000001)^5))/(EXP(MIN('IR Calculator'!$C$5*'IR Calculator'!$C$6/((('IR Calculator'!C14+(54-0.5)*('IR Calculator'!C15-'IR Calculator'!C14)/MIN('IR Calculator'!C16,500))*0.000001)*'IR Calculator'!$C$7*'IR Calculator'!$C$19),700))-1)*0.000001</f>
        <v>51.5680774719343</v>
      </c>
    </row>
    <row r="65" customFormat="false" ht="12.75" hidden="false" customHeight="true" outlineLevel="0" collapsed="false">
      <c r="B65" s="22" t="n">
        <v>55</v>
      </c>
      <c r="C65" s="23" t="n">
        <f aca="false">'IR Calculator'!C14+(55-0.5)*('IR Calculator'!C15-'IR Calculator'!C14)/MIN('IR Calculator'!C16,500)</f>
        <v>8.218</v>
      </c>
      <c r="D65" s="24" t="n">
        <f aca="false">('IR Calculator'!C15-'IR Calculator'!C14)/MIN('IR Calculator'!C16,500)</f>
        <v>0.004</v>
      </c>
      <c r="E65" s="25" t="n">
        <f aca="false">(2*'IR Calculator'!$C$5*'IR Calculator'!$C$6^2/((('IR Calculator'!C14+(55-0.5)*('IR Calculator'!C15-'IR Calculator'!C14)/MIN('IR Calculator'!C16,500))*0.000001)^5))/(EXP(MIN('IR Calculator'!$C$5*'IR Calculator'!$C$6/((('IR Calculator'!C14+(55-0.5)*('IR Calculator'!C15-'IR Calculator'!C14)/MIN('IR Calculator'!C16,500))*0.000001)*'IR Calculator'!$C$7*'IR Calculator'!$C$19),700))-1)*0.000001</f>
        <v>51.5481351415373</v>
      </c>
    </row>
    <row r="66" customFormat="false" ht="12.75" hidden="false" customHeight="true" outlineLevel="0" collapsed="false">
      <c r="B66" s="26" t="n">
        <v>56</v>
      </c>
      <c r="C66" s="27" t="n">
        <f aca="false">'IR Calculator'!C14+(56-0.5)*('IR Calculator'!C15-'IR Calculator'!C14)/MIN('IR Calculator'!C16,500)</f>
        <v>8.222</v>
      </c>
      <c r="D66" s="28" t="n">
        <f aca="false">('IR Calculator'!C15-'IR Calculator'!C14)/MIN('IR Calculator'!C16,500)</f>
        <v>0.004</v>
      </c>
      <c r="E66" s="29" t="n">
        <f aca="false">(2*'IR Calculator'!$C$5*'IR Calculator'!$C$6^2/((('IR Calculator'!C14+(56-0.5)*('IR Calculator'!C15-'IR Calculator'!C14)/MIN('IR Calculator'!C16,500))*0.000001)^5))/(EXP(MIN('IR Calculator'!$C$5*'IR Calculator'!$C$6/((('IR Calculator'!C14+(56-0.5)*('IR Calculator'!C15-'IR Calculator'!C14)/MIN('IR Calculator'!C16,500))*0.000001)*'IR Calculator'!$C$7*'IR Calculator'!$C$19),700))-1)*0.000001</f>
        <v>51.528162350635</v>
      </c>
    </row>
    <row r="67" customFormat="false" ht="12.75" hidden="false" customHeight="true" outlineLevel="0" collapsed="false">
      <c r="B67" s="22" t="n">
        <v>57</v>
      </c>
      <c r="C67" s="23" t="n">
        <f aca="false">'IR Calculator'!C14+(57-0.5)*('IR Calculator'!C15-'IR Calculator'!C14)/MIN('IR Calculator'!C16,500)</f>
        <v>8.226</v>
      </c>
      <c r="D67" s="24" t="n">
        <f aca="false">('IR Calculator'!C15-'IR Calculator'!C14)/MIN('IR Calculator'!C16,500)</f>
        <v>0.004</v>
      </c>
      <c r="E67" s="25" t="n">
        <f aca="false">(2*'IR Calculator'!$C$5*'IR Calculator'!$C$6^2/((('IR Calculator'!C14+(57-0.5)*('IR Calculator'!C15-'IR Calculator'!C14)/MIN('IR Calculator'!C16,500))*0.000001)^5))/(EXP(MIN('IR Calculator'!$C$5*'IR Calculator'!$C$6/((('IR Calculator'!C14+(57-0.5)*('IR Calculator'!C15-'IR Calculator'!C14)/MIN('IR Calculator'!C16,500))*0.000001)*'IR Calculator'!$C$7*'IR Calculator'!$C$19),700))-1)*0.000001</f>
        <v>51.5081592280629</v>
      </c>
    </row>
    <row r="68" customFormat="false" ht="12.75" hidden="false" customHeight="true" outlineLevel="0" collapsed="false">
      <c r="B68" s="26" t="n">
        <v>58</v>
      </c>
      <c r="C68" s="27" t="n">
        <f aca="false">'IR Calculator'!C14+(58-0.5)*('IR Calculator'!C15-'IR Calculator'!C14)/MIN('IR Calculator'!C16,500)</f>
        <v>8.23</v>
      </c>
      <c r="D68" s="28" t="n">
        <f aca="false">('IR Calculator'!C15-'IR Calculator'!C14)/MIN('IR Calculator'!C16,500)</f>
        <v>0.004</v>
      </c>
      <c r="E68" s="29" t="n">
        <f aca="false">(2*'IR Calculator'!$C$5*'IR Calculator'!$C$6^2/((('IR Calculator'!C14+(58-0.5)*('IR Calculator'!C15-'IR Calculator'!C14)/MIN('IR Calculator'!C16,500))*0.000001)^5))/(EXP(MIN('IR Calculator'!$C$5*'IR Calculator'!$C$6/((('IR Calculator'!C14+(58-0.5)*('IR Calculator'!C15-'IR Calculator'!C14)/MIN('IR Calculator'!C16,500))*0.000001)*'IR Calculator'!$C$7*'IR Calculator'!$C$19),700))-1)*0.000001</f>
        <v>51.4881259023707</v>
      </c>
    </row>
    <row r="69" customFormat="false" ht="12.75" hidden="false" customHeight="true" outlineLevel="0" collapsed="false">
      <c r="B69" s="22" t="n">
        <v>59</v>
      </c>
      <c r="C69" s="23" t="n">
        <f aca="false">'IR Calculator'!C14+(59-0.5)*('IR Calculator'!C15-'IR Calculator'!C14)/MIN('IR Calculator'!C16,500)</f>
        <v>8.234</v>
      </c>
      <c r="D69" s="24" t="n">
        <f aca="false">('IR Calculator'!C15-'IR Calculator'!C14)/MIN('IR Calculator'!C16,500)</f>
        <v>0.004</v>
      </c>
      <c r="E69" s="25" t="n">
        <f aca="false">(2*'IR Calculator'!$C$5*'IR Calculator'!$C$6^2/((('IR Calculator'!C14+(59-0.5)*('IR Calculator'!C15-'IR Calculator'!C14)/MIN('IR Calculator'!C16,500))*0.000001)^5))/(EXP(MIN('IR Calculator'!$C$5*'IR Calculator'!$C$6/((('IR Calculator'!C14+(59-0.5)*('IR Calculator'!C15-'IR Calculator'!C14)/MIN('IR Calculator'!C16,500))*0.000001)*'IR Calculator'!$C$7*'IR Calculator'!$C$19),700))-1)*0.000001</f>
        <v>51.4680625018221</v>
      </c>
    </row>
    <row r="70" customFormat="false" ht="12.75" hidden="false" customHeight="true" outlineLevel="0" collapsed="false">
      <c r="B70" s="26" t="n">
        <v>60</v>
      </c>
      <c r="C70" s="27" t="n">
        <f aca="false">'IR Calculator'!C14+(60-0.5)*('IR Calculator'!C15-'IR Calculator'!C14)/MIN('IR Calculator'!C16,500)</f>
        <v>8.238</v>
      </c>
      <c r="D70" s="28" t="n">
        <f aca="false">('IR Calculator'!C15-'IR Calculator'!C14)/MIN('IR Calculator'!C16,500)</f>
        <v>0.004</v>
      </c>
      <c r="E70" s="29" t="n">
        <f aca="false">(2*'IR Calculator'!$C$5*'IR Calculator'!$C$6^2/((('IR Calculator'!C14+(60-0.5)*('IR Calculator'!C15-'IR Calculator'!C14)/MIN('IR Calculator'!C16,500))*0.000001)^5))/(EXP(MIN('IR Calculator'!$C$5*'IR Calculator'!$C$6/((('IR Calculator'!C14+(60-0.5)*('IR Calculator'!C15-'IR Calculator'!C14)/MIN('IR Calculator'!C16,500))*0.000001)*'IR Calculator'!$C$7*'IR Calculator'!$C$19),700))-1)*0.000001</f>
        <v>51.4479691543953</v>
      </c>
    </row>
    <row r="71" customFormat="false" ht="12.75" hidden="false" customHeight="true" outlineLevel="0" collapsed="false">
      <c r="B71" s="22" t="n">
        <v>61</v>
      </c>
      <c r="C71" s="23" t="n">
        <f aca="false">'IR Calculator'!C14+(61-0.5)*('IR Calculator'!C15-'IR Calculator'!C14)/MIN('IR Calculator'!C16,500)</f>
        <v>8.242</v>
      </c>
      <c r="D71" s="24" t="n">
        <f aca="false">('IR Calculator'!C15-'IR Calculator'!C14)/MIN('IR Calculator'!C16,500)</f>
        <v>0.004</v>
      </c>
      <c r="E71" s="25" t="n">
        <f aca="false">(2*'IR Calculator'!$C$5*'IR Calculator'!$C$6^2/((('IR Calculator'!C14+(61-0.5)*('IR Calculator'!C15-'IR Calculator'!C14)/MIN('IR Calculator'!C16,500))*0.000001)^5))/(EXP(MIN('IR Calculator'!$C$5*'IR Calculator'!$C$6/((('IR Calculator'!C14+(61-0.5)*('IR Calculator'!C15-'IR Calculator'!C14)/MIN('IR Calculator'!C16,500))*0.000001)*'IR Calculator'!$C$7*'IR Calculator'!$C$19),700))-1)*0.000001</f>
        <v>51.4278459877835</v>
      </c>
    </row>
    <row r="72" customFormat="false" ht="12.75" hidden="false" customHeight="true" outlineLevel="0" collapsed="false">
      <c r="B72" s="26" t="n">
        <v>62</v>
      </c>
      <c r="C72" s="27" t="n">
        <f aca="false">'IR Calculator'!C14+(62-0.5)*('IR Calculator'!C15-'IR Calculator'!C14)/MIN('IR Calculator'!C16,500)</f>
        <v>8.246</v>
      </c>
      <c r="D72" s="28" t="n">
        <f aca="false">('IR Calculator'!C15-'IR Calculator'!C14)/MIN('IR Calculator'!C16,500)</f>
        <v>0.004</v>
      </c>
      <c r="E72" s="29" t="n">
        <f aca="false">(2*'IR Calculator'!$C$5*'IR Calculator'!$C$6^2/((('IR Calculator'!C14+(62-0.5)*('IR Calculator'!C15-'IR Calculator'!C14)/MIN('IR Calculator'!C16,500))*0.000001)^5))/(EXP(MIN('IR Calculator'!$C$5*'IR Calculator'!$C$6/((('IR Calculator'!C14+(62-0.5)*('IR Calculator'!C15-'IR Calculator'!C14)/MIN('IR Calculator'!C16,500))*0.000001)*'IR Calculator'!$C$7*'IR Calculator'!$C$19),700))-1)*0.000001</f>
        <v>51.4076931293951</v>
      </c>
    </row>
    <row r="73" customFormat="false" ht="12.75" hidden="false" customHeight="true" outlineLevel="0" collapsed="false">
      <c r="B73" s="22" t="n">
        <v>63</v>
      </c>
      <c r="C73" s="23" t="n">
        <f aca="false">'IR Calculator'!C14+(63-0.5)*('IR Calculator'!C15-'IR Calculator'!C14)/MIN('IR Calculator'!C16,500)</f>
        <v>8.25</v>
      </c>
      <c r="D73" s="24" t="n">
        <f aca="false">('IR Calculator'!C15-'IR Calculator'!C14)/MIN('IR Calculator'!C16,500)</f>
        <v>0.004</v>
      </c>
      <c r="E73" s="25" t="n">
        <f aca="false">(2*'IR Calculator'!$C$5*'IR Calculator'!$C$6^2/((('IR Calculator'!C14+(63-0.5)*('IR Calculator'!C15-'IR Calculator'!C14)/MIN('IR Calculator'!C16,500))*0.000001)^5))/(EXP(MIN('IR Calculator'!$C$5*'IR Calculator'!$C$6/((('IR Calculator'!C14+(63-0.5)*('IR Calculator'!C15-'IR Calculator'!C14)/MIN('IR Calculator'!C16,500))*0.000001)*'IR Calculator'!$C$7*'IR Calculator'!$C$19),700))-1)*0.000001</f>
        <v>51.3875107063535</v>
      </c>
    </row>
    <row r="74" customFormat="false" ht="12.75" hidden="false" customHeight="true" outlineLevel="0" collapsed="false">
      <c r="B74" s="26" t="n">
        <v>64</v>
      </c>
      <c r="C74" s="27" t="n">
        <f aca="false">'IR Calculator'!C14+(64-0.5)*('IR Calculator'!C15-'IR Calculator'!C14)/MIN('IR Calculator'!C16,500)</f>
        <v>8.254</v>
      </c>
      <c r="D74" s="28" t="n">
        <f aca="false">('IR Calculator'!C15-'IR Calculator'!C14)/MIN('IR Calculator'!C16,500)</f>
        <v>0.004</v>
      </c>
      <c r="E74" s="29" t="n">
        <f aca="false">(2*'IR Calculator'!$C$5*'IR Calculator'!$C$6^2/((('IR Calculator'!C14+(64-0.5)*('IR Calculator'!C15-'IR Calculator'!C14)/MIN('IR Calculator'!C16,500))*0.000001)^5))/(EXP(MIN('IR Calculator'!$C$5*'IR Calculator'!$C$6/((('IR Calculator'!C14+(64-0.5)*('IR Calculator'!C15-'IR Calculator'!C14)/MIN('IR Calculator'!C16,500))*0.000001)*'IR Calculator'!$C$7*'IR Calculator'!$C$19),700))-1)*0.000001</f>
        <v>51.367298845498</v>
      </c>
    </row>
    <row r="75" customFormat="false" ht="12.75" hidden="false" customHeight="true" outlineLevel="0" collapsed="false">
      <c r="B75" s="22" t="n">
        <v>65</v>
      </c>
      <c r="C75" s="23" t="n">
        <f aca="false">'IR Calculator'!C14+(65-0.5)*('IR Calculator'!C15-'IR Calculator'!C14)/MIN('IR Calculator'!C16,500)</f>
        <v>8.258</v>
      </c>
      <c r="D75" s="24" t="n">
        <f aca="false">('IR Calculator'!C15-'IR Calculator'!C14)/MIN('IR Calculator'!C16,500)</f>
        <v>0.004</v>
      </c>
      <c r="E75" s="25" t="n">
        <f aca="false">(2*'IR Calculator'!$C$5*'IR Calculator'!$C$6^2/((('IR Calculator'!C14+(65-0.5)*('IR Calculator'!C15-'IR Calculator'!C14)/MIN('IR Calculator'!C16,500))*0.000001)^5))/(EXP(MIN('IR Calculator'!$C$5*'IR Calculator'!$C$6/((('IR Calculator'!C14+(65-0.5)*('IR Calculator'!C15-'IR Calculator'!C14)/MIN('IR Calculator'!C16,500))*0.000001)*'IR Calculator'!$C$7*'IR Calculator'!$C$19),700))-1)*0.000001</f>
        <v>51.3470576733839</v>
      </c>
    </row>
    <row r="76" customFormat="false" ht="12.75" hidden="false" customHeight="true" outlineLevel="0" collapsed="false">
      <c r="B76" s="26" t="n">
        <v>66</v>
      </c>
      <c r="C76" s="27" t="n">
        <f aca="false">'IR Calculator'!C14+(66-0.5)*('IR Calculator'!C15-'IR Calculator'!C14)/MIN('IR Calculator'!C16,500)</f>
        <v>8.262</v>
      </c>
      <c r="D76" s="28" t="n">
        <f aca="false">('IR Calculator'!C15-'IR Calculator'!C14)/MIN('IR Calculator'!C16,500)</f>
        <v>0.004</v>
      </c>
      <c r="E76" s="29" t="n">
        <f aca="false">(2*'IR Calculator'!$C$5*'IR Calculator'!$C$6^2/((('IR Calculator'!C14+(66-0.5)*('IR Calculator'!C15-'IR Calculator'!C14)/MIN('IR Calculator'!C16,500))*0.000001)^5))/(EXP(MIN('IR Calculator'!$C$5*'IR Calculator'!$C$6/((('IR Calculator'!C14+(66-0.5)*('IR Calculator'!C15-'IR Calculator'!C14)/MIN('IR Calculator'!C16,500))*0.000001)*'IR Calculator'!$C$7*'IR Calculator'!$C$19),700))-1)*0.000001</f>
        <v>51.3267873162823</v>
      </c>
    </row>
    <row r="77" customFormat="false" ht="12.75" hidden="false" customHeight="true" outlineLevel="0" collapsed="false">
      <c r="B77" s="22" t="n">
        <v>67</v>
      </c>
      <c r="C77" s="23" t="n">
        <f aca="false">'IR Calculator'!C14+(67-0.5)*('IR Calculator'!C15-'IR Calculator'!C14)/MIN('IR Calculator'!C16,500)</f>
        <v>8.266</v>
      </c>
      <c r="D77" s="24" t="n">
        <f aca="false">('IR Calculator'!C15-'IR Calculator'!C14)/MIN('IR Calculator'!C16,500)</f>
        <v>0.004</v>
      </c>
      <c r="E77" s="25" t="n">
        <f aca="false">(2*'IR Calculator'!$C$5*'IR Calculator'!$C$6^2/((('IR Calculator'!C14+(67-0.5)*('IR Calculator'!C15-'IR Calculator'!C14)/MIN('IR Calculator'!C16,500))*0.000001)^5))/(EXP(MIN('IR Calculator'!$C$5*'IR Calculator'!$C$6/((('IR Calculator'!C14+(67-0.5)*('IR Calculator'!C15-'IR Calculator'!C14)/MIN('IR Calculator'!C16,500))*0.000001)*'IR Calculator'!$C$7*'IR Calculator'!$C$19),700))-1)*0.000001</f>
        <v>51.3064879001812</v>
      </c>
    </row>
    <row r="78" customFormat="false" ht="12.75" hidden="false" customHeight="true" outlineLevel="0" collapsed="false">
      <c r="B78" s="26" t="n">
        <v>68</v>
      </c>
      <c r="C78" s="27" t="n">
        <f aca="false">'IR Calculator'!C14+(68-0.5)*('IR Calculator'!C15-'IR Calculator'!C14)/MIN('IR Calculator'!C16,500)</f>
        <v>8.27</v>
      </c>
      <c r="D78" s="28" t="n">
        <f aca="false">('IR Calculator'!C15-'IR Calculator'!C14)/MIN('IR Calculator'!C16,500)</f>
        <v>0.004</v>
      </c>
      <c r="E78" s="29" t="n">
        <f aca="false">(2*'IR Calculator'!$C$5*'IR Calculator'!$C$6^2/((('IR Calculator'!C14+(68-0.5)*('IR Calculator'!C15-'IR Calculator'!C14)/MIN('IR Calculator'!C16,500))*0.000001)^5))/(EXP(MIN('IR Calculator'!$C$5*'IR Calculator'!$C$6/((('IR Calculator'!C14+(68-0.5)*('IR Calculator'!C15-'IR Calculator'!C14)/MIN('IR Calculator'!C16,500))*0.000001)*'IR Calculator'!$C$7*'IR Calculator'!$C$19),700))-1)*0.000001</f>
        <v>51.2861595507852</v>
      </c>
    </row>
    <row r="79" customFormat="false" ht="12.75" hidden="false" customHeight="true" outlineLevel="0" collapsed="false">
      <c r="B79" s="22" t="n">
        <v>69</v>
      </c>
      <c r="C79" s="23" t="n">
        <f aca="false">'IR Calculator'!C14+(69-0.5)*('IR Calculator'!C15-'IR Calculator'!C14)/MIN('IR Calculator'!C16,500)</f>
        <v>8.274</v>
      </c>
      <c r="D79" s="24" t="n">
        <f aca="false">('IR Calculator'!C15-'IR Calculator'!C14)/MIN('IR Calculator'!C16,500)</f>
        <v>0.004</v>
      </c>
      <c r="E79" s="25" t="n">
        <f aca="false">(2*'IR Calculator'!$C$5*'IR Calculator'!$C$6^2/((('IR Calculator'!C14+(69-0.5)*('IR Calculator'!C15-'IR Calculator'!C14)/MIN('IR Calculator'!C16,500))*0.000001)^5))/(EXP(MIN('IR Calculator'!$C$5*'IR Calculator'!$C$6/((('IR Calculator'!C14+(69-0.5)*('IR Calculator'!C15-'IR Calculator'!C14)/MIN('IR Calculator'!C16,500))*0.000001)*'IR Calculator'!$C$7*'IR Calculator'!$C$19),700))-1)*0.000001</f>
        <v>51.2658023935158</v>
      </c>
    </row>
    <row r="80" customFormat="false" ht="12.75" hidden="false" customHeight="true" outlineLevel="0" collapsed="false">
      <c r="B80" s="26" t="n">
        <v>70</v>
      </c>
      <c r="C80" s="27" t="n">
        <f aca="false">'IR Calculator'!C14+(70-0.5)*('IR Calculator'!C15-'IR Calculator'!C14)/MIN('IR Calculator'!C16,500)</f>
        <v>8.278</v>
      </c>
      <c r="D80" s="28" t="n">
        <f aca="false">('IR Calculator'!C15-'IR Calculator'!C14)/MIN('IR Calculator'!C16,500)</f>
        <v>0.004</v>
      </c>
      <c r="E80" s="29" t="n">
        <f aca="false">(2*'IR Calculator'!$C$5*'IR Calculator'!$C$6^2/((('IR Calculator'!C14+(70-0.5)*('IR Calculator'!C15-'IR Calculator'!C14)/MIN('IR Calculator'!C16,500))*0.000001)^5))/(EXP(MIN('IR Calculator'!$C$5*'IR Calculator'!$C$6/((('IR Calculator'!C14+(70-0.5)*('IR Calculator'!C15-'IR Calculator'!C14)/MIN('IR Calculator'!C16,500))*0.000001)*'IR Calculator'!$C$7*'IR Calculator'!$C$19),700))-1)*0.000001</f>
        <v>51.2454165535122</v>
      </c>
    </row>
    <row r="81" customFormat="false" ht="12.75" hidden="false" customHeight="true" outlineLevel="0" collapsed="false">
      <c r="B81" s="22" t="n">
        <v>71</v>
      </c>
      <c r="C81" s="23" t="n">
        <f aca="false">'IR Calculator'!C14+(71-0.5)*('IR Calculator'!C15-'IR Calculator'!C14)/MIN('IR Calculator'!C16,500)</f>
        <v>8.282</v>
      </c>
      <c r="D81" s="24" t="n">
        <f aca="false">('IR Calculator'!C15-'IR Calculator'!C14)/MIN('IR Calculator'!C16,500)</f>
        <v>0.004</v>
      </c>
      <c r="E81" s="25" t="n">
        <f aca="false">(2*'IR Calculator'!$C$5*'IR Calculator'!$C$6^2/((('IR Calculator'!C14+(71-0.5)*('IR Calculator'!C15-'IR Calculator'!C14)/MIN('IR Calculator'!C16,500))*0.000001)^5))/(EXP(MIN('IR Calculator'!$C$5*'IR Calculator'!$C$6/((('IR Calculator'!C14+(71-0.5)*('IR Calculator'!C15-'IR Calculator'!C14)/MIN('IR Calculator'!C16,500))*0.000001)*'IR Calculator'!$C$7*'IR Calculator'!$C$19),700))-1)*0.000001</f>
        <v>51.2250021556308</v>
      </c>
    </row>
    <row r="82" customFormat="false" ht="12.75" hidden="false" customHeight="true" outlineLevel="0" collapsed="false">
      <c r="B82" s="26" t="n">
        <v>72</v>
      </c>
      <c r="C82" s="27" t="n">
        <f aca="false">'IR Calculator'!C14+(72-0.5)*('IR Calculator'!C15-'IR Calculator'!C14)/MIN('IR Calculator'!C16,500)</f>
        <v>8.286</v>
      </c>
      <c r="D82" s="28" t="n">
        <f aca="false">('IR Calculator'!C15-'IR Calculator'!C14)/MIN('IR Calculator'!C16,500)</f>
        <v>0.004</v>
      </c>
      <c r="E82" s="29" t="n">
        <f aca="false">(2*'IR Calculator'!$C$5*'IR Calculator'!$C$6^2/((('IR Calculator'!C14+(72-0.5)*('IR Calculator'!C15-'IR Calculator'!C14)/MIN('IR Calculator'!C16,500))*0.000001)^5))/(EXP(MIN('IR Calculator'!$C$5*'IR Calculator'!$C$6/((('IR Calculator'!C14+(72-0.5)*('IR Calculator'!C15-'IR Calculator'!C14)/MIN('IR Calculator'!C16,500))*0.000001)*'IR Calculator'!$C$7*'IR Calculator'!$C$19),700))-1)*0.000001</f>
        <v>51.2045593244461</v>
      </c>
    </row>
    <row r="83" customFormat="false" ht="12.75" hidden="false" customHeight="true" outlineLevel="0" collapsed="false">
      <c r="B83" s="22" t="n">
        <v>73</v>
      </c>
      <c r="C83" s="23" t="n">
        <f aca="false">'IR Calculator'!C14+(73-0.5)*('IR Calculator'!C15-'IR Calculator'!C14)/MIN('IR Calculator'!C16,500)</f>
        <v>8.29</v>
      </c>
      <c r="D83" s="24" t="n">
        <f aca="false">('IR Calculator'!C15-'IR Calculator'!C14)/MIN('IR Calculator'!C16,500)</f>
        <v>0.004</v>
      </c>
      <c r="E83" s="25" t="n">
        <f aca="false">(2*'IR Calculator'!$C$5*'IR Calculator'!$C$6^2/((('IR Calculator'!C14+(73-0.5)*('IR Calculator'!C15-'IR Calculator'!C14)/MIN('IR Calculator'!C16,500))*0.000001)^5))/(EXP(MIN('IR Calculator'!$C$5*'IR Calculator'!$C$6/((('IR Calculator'!C14+(73-0.5)*('IR Calculator'!C15-'IR Calculator'!C14)/MIN('IR Calculator'!C16,500))*0.000001)*'IR Calculator'!$C$7*'IR Calculator'!$C$19),700))-1)*0.000001</f>
        <v>51.184088184251</v>
      </c>
    </row>
    <row r="84" customFormat="false" ht="12.75" hidden="false" customHeight="true" outlineLevel="0" collapsed="false">
      <c r="B84" s="26" t="n">
        <v>74</v>
      </c>
      <c r="C84" s="27" t="n">
        <f aca="false">'IR Calculator'!C14+(74-0.5)*('IR Calculator'!C15-'IR Calculator'!C14)/MIN('IR Calculator'!C16,500)</f>
        <v>8.294</v>
      </c>
      <c r="D84" s="28" t="n">
        <f aca="false">('IR Calculator'!C15-'IR Calculator'!C14)/MIN('IR Calculator'!C16,500)</f>
        <v>0.004</v>
      </c>
      <c r="E84" s="29" t="n">
        <f aca="false">(2*'IR Calculator'!$C$5*'IR Calculator'!$C$6^2/((('IR Calculator'!C14+(74-0.5)*('IR Calculator'!C15-'IR Calculator'!C14)/MIN('IR Calculator'!C16,500))*0.000001)^5))/(EXP(MIN('IR Calculator'!$C$5*'IR Calculator'!$C$6/((('IR Calculator'!C14+(74-0.5)*('IR Calculator'!C15-'IR Calculator'!C14)/MIN('IR Calculator'!C16,500))*0.000001)*'IR Calculator'!$C$7*'IR Calculator'!$C$19),700))-1)*0.000001</f>
        <v>51.1635888590566</v>
      </c>
    </row>
    <row r="85" customFormat="false" ht="12.75" hidden="false" customHeight="true" outlineLevel="0" collapsed="false">
      <c r="B85" s="22" t="n">
        <v>75</v>
      </c>
      <c r="C85" s="23" t="n">
        <f aca="false">'IR Calculator'!C14+(75-0.5)*('IR Calculator'!C15-'IR Calculator'!C14)/MIN('IR Calculator'!C16,500)</f>
        <v>8.298</v>
      </c>
      <c r="D85" s="24" t="n">
        <f aca="false">('IR Calculator'!C15-'IR Calculator'!C14)/MIN('IR Calculator'!C16,500)</f>
        <v>0.004</v>
      </c>
      <c r="E85" s="25" t="n">
        <f aca="false">(2*'IR Calculator'!$C$5*'IR Calculator'!$C$6^2/((('IR Calculator'!C14+(75-0.5)*('IR Calculator'!C15-'IR Calculator'!C14)/MIN('IR Calculator'!C16,500))*0.000001)^5))/(EXP(MIN('IR Calculator'!$C$5*'IR Calculator'!$C$6/((('IR Calculator'!C14+(75-0.5)*('IR Calculator'!C15-'IR Calculator'!C14)/MIN('IR Calculator'!C16,500))*0.000001)*'IR Calculator'!$C$7*'IR Calculator'!$C$19),700))-1)*0.000001</f>
        <v>51.1430614725929</v>
      </c>
    </row>
    <row r="86" customFormat="false" ht="12.75" hidden="false" customHeight="true" outlineLevel="0" collapsed="false">
      <c r="B86" s="26" t="n">
        <v>76</v>
      </c>
      <c r="C86" s="27" t="n">
        <f aca="false">'IR Calculator'!C14+(76-0.5)*('IR Calculator'!C15-'IR Calculator'!C14)/MIN('IR Calculator'!C16,500)</f>
        <v>8.302</v>
      </c>
      <c r="D86" s="28" t="n">
        <f aca="false">('IR Calculator'!C15-'IR Calculator'!C14)/MIN('IR Calculator'!C16,500)</f>
        <v>0.004</v>
      </c>
      <c r="E86" s="29" t="n">
        <f aca="false">(2*'IR Calculator'!$C$5*'IR Calculator'!$C$6^2/((('IR Calculator'!C14+(76-0.5)*('IR Calculator'!C15-'IR Calculator'!C14)/MIN('IR Calculator'!C16,500))*0.000001)^5))/(EXP(MIN('IR Calculator'!$C$5*'IR Calculator'!$C$6/((('IR Calculator'!C14+(76-0.5)*('IR Calculator'!C15-'IR Calculator'!C14)/MIN('IR Calculator'!C16,500))*0.000001)*'IR Calculator'!$C$7*'IR Calculator'!$C$19),700))-1)*0.000001</f>
        <v>51.1225061483089</v>
      </c>
    </row>
    <row r="87" customFormat="false" ht="12.75" hidden="false" customHeight="true" outlineLevel="0" collapsed="false">
      <c r="B87" s="22" t="n">
        <v>77</v>
      </c>
      <c r="C87" s="23" t="n">
        <f aca="false">'IR Calculator'!C14+(77-0.5)*('IR Calculator'!C15-'IR Calculator'!C14)/MIN('IR Calculator'!C16,500)</f>
        <v>8.306</v>
      </c>
      <c r="D87" s="24" t="n">
        <f aca="false">('IR Calculator'!C15-'IR Calculator'!C14)/MIN('IR Calculator'!C16,500)</f>
        <v>0.004</v>
      </c>
      <c r="E87" s="25" t="n">
        <f aca="false">(2*'IR Calculator'!$C$5*'IR Calculator'!$C$6^2/((('IR Calculator'!C14+(77-0.5)*('IR Calculator'!C15-'IR Calculator'!C14)/MIN('IR Calculator'!C16,500))*0.000001)^5))/(EXP(MIN('IR Calculator'!$C$5*'IR Calculator'!$C$6/((('IR Calculator'!C14+(77-0.5)*('IR Calculator'!C15-'IR Calculator'!C14)/MIN('IR Calculator'!C16,500))*0.000001)*'IR Calculator'!$C$7*'IR Calculator'!$C$19),700))-1)*0.000001</f>
        <v>51.1019230093732</v>
      </c>
    </row>
    <row r="88" customFormat="false" ht="12.75" hidden="false" customHeight="true" outlineLevel="0" collapsed="false">
      <c r="B88" s="26" t="n">
        <v>78</v>
      </c>
      <c r="C88" s="27" t="n">
        <f aca="false">'IR Calculator'!C14+(78-0.5)*('IR Calculator'!C15-'IR Calculator'!C14)/MIN('IR Calculator'!C16,500)</f>
        <v>8.31</v>
      </c>
      <c r="D88" s="28" t="n">
        <f aca="false">('IR Calculator'!C15-'IR Calculator'!C14)/MIN('IR Calculator'!C16,500)</f>
        <v>0.004</v>
      </c>
      <c r="E88" s="29" t="n">
        <f aca="false">(2*'IR Calculator'!$C$5*'IR Calculator'!$C$6^2/((('IR Calculator'!C14+(78-0.5)*('IR Calculator'!C15-'IR Calculator'!C14)/MIN('IR Calculator'!C16,500))*0.000001)^5))/(EXP(MIN('IR Calculator'!$C$5*'IR Calculator'!$C$6/((('IR Calculator'!C14+(78-0.5)*('IR Calculator'!C15-'IR Calculator'!C14)/MIN('IR Calculator'!C16,500))*0.000001)*'IR Calculator'!$C$7*'IR Calculator'!$C$19),700))-1)*0.000001</f>
        <v>51.0813121786738</v>
      </c>
    </row>
    <row r="89" customFormat="false" ht="12.75" hidden="false" customHeight="true" outlineLevel="0" collapsed="false">
      <c r="B89" s="22" t="n">
        <v>79</v>
      </c>
      <c r="C89" s="23" t="n">
        <f aca="false">'IR Calculator'!C14+(79-0.5)*('IR Calculator'!C15-'IR Calculator'!C14)/MIN('IR Calculator'!C16,500)</f>
        <v>8.314</v>
      </c>
      <c r="D89" s="24" t="n">
        <f aca="false">('IR Calculator'!C15-'IR Calculator'!C14)/MIN('IR Calculator'!C16,500)</f>
        <v>0.004</v>
      </c>
      <c r="E89" s="25" t="n">
        <f aca="false">(2*'IR Calculator'!$C$5*'IR Calculator'!$C$6^2/((('IR Calculator'!C14+(79-0.5)*('IR Calculator'!C15-'IR Calculator'!C14)/MIN('IR Calculator'!C16,500))*0.000001)^5))/(EXP(MIN('IR Calculator'!$C$5*'IR Calculator'!$C$6/((('IR Calculator'!C14+(79-0.5)*('IR Calculator'!C15-'IR Calculator'!C14)/MIN('IR Calculator'!C16,500))*0.000001)*'IR Calculator'!$C$7*'IR Calculator'!$C$19),700))-1)*0.000001</f>
        <v>51.0606737788188</v>
      </c>
    </row>
    <row r="90" customFormat="false" ht="12.75" hidden="false" customHeight="true" outlineLevel="0" collapsed="false">
      <c r="B90" s="26" t="n">
        <v>80</v>
      </c>
      <c r="C90" s="27" t="n">
        <f aca="false">'IR Calculator'!C14+(80-0.5)*('IR Calculator'!C15-'IR Calculator'!C14)/MIN('IR Calculator'!C16,500)</f>
        <v>8.318</v>
      </c>
      <c r="D90" s="28" t="n">
        <f aca="false">('IR Calculator'!C15-'IR Calculator'!C14)/MIN('IR Calculator'!C16,500)</f>
        <v>0.004</v>
      </c>
      <c r="E90" s="29" t="n">
        <f aca="false">(2*'IR Calculator'!$C$5*'IR Calculator'!$C$6^2/((('IR Calculator'!C14+(80-0.5)*('IR Calculator'!C15-'IR Calculator'!C14)/MIN('IR Calculator'!C16,500))*0.000001)^5))/(EXP(MIN('IR Calculator'!$C$5*'IR Calculator'!$C$6/((('IR Calculator'!C14+(80-0.5)*('IR Calculator'!C15-'IR Calculator'!C14)/MIN('IR Calculator'!C16,500))*0.000001)*'IR Calculator'!$C$7*'IR Calculator'!$C$19),700))-1)*0.000001</f>
        <v>51.0400079321367</v>
      </c>
    </row>
    <row r="91" customFormat="false" ht="12.75" hidden="false" customHeight="true" outlineLevel="0" collapsed="false">
      <c r="B91" s="22" t="n">
        <v>81</v>
      </c>
      <c r="C91" s="23" t="n">
        <f aca="false">'IR Calculator'!C14+(81-0.5)*('IR Calculator'!C15-'IR Calculator'!C14)/MIN('IR Calculator'!C16,500)</f>
        <v>8.322</v>
      </c>
      <c r="D91" s="24" t="n">
        <f aca="false">('IR Calculator'!C15-'IR Calculator'!C14)/MIN('IR Calculator'!C16,500)</f>
        <v>0.004</v>
      </c>
      <c r="E91" s="25" t="n">
        <f aca="false">(2*'IR Calculator'!$C$5*'IR Calculator'!$C$6^2/((('IR Calculator'!C14+(81-0.5)*('IR Calculator'!C15-'IR Calculator'!C14)/MIN('IR Calculator'!C16,500))*0.000001)^5))/(EXP(MIN('IR Calculator'!$C$5*'IR Calculator'!$C$6/((('IR Calculator'!C14+(81-0.5)*('IR Calculator'!C15-'IR Calculator'!C14)/MIN('IR Calculator'!C16,500))*0.000001)*'IR Calculator'!$C$7*'IR Calculator'!$C$19),700))-1)*0.000001</f>
        <v>51.0193147606763</v>
      </c>
    </row>
    <row r="92" customFormat="false" ht="12.75" hidden="false" customHeight="true" outlineLevel="0" collapsed="false">
      <c r="B92" s="26" t="n">
        <v>82</v>
      </c>
      <c r="C92" s="27" t="n">
        <f aca="false">'IR Calculator'!C14+(82-0.5)*('IR Calculator'!C15-'IR Calculator'!C14)/MIN('IR Calculator'!C16,500)</f>
        <v>8.326</v>
      </c>
      <c r="D92" s="28" t="n">
        <f aca="false">('IR Calculator'!C15-'IR Calculator'!C14)/MIN('IR Calculator'!C16,500)</f>
        <v>0.004</v>
      </c>
      <c r="E92" s="29" t="n">
        <f aca="false">(2*'IR Calculator'!$C$5*'IR Calculator'!$C$6^2/((('IR Calculator'!C14+(82-0.5)*('IR Calculator'!C15-'IR Calculator'!C14)/MIN('IR Calculator'!C16,500))*0.000001)^5))/(EXP(MIN('IR Calculator'!$C$5*'IR Calculator'!$C$6/((('IR Calculator'!C14+(82-0.5)*('IR Calculator'!C15-'IR Calculator'!C14)/MIN('IR Calculator'!C16,500))*0.000001)*'IR Calculator'!$C$7*'IR Calculator'!$C$19),700))-1)*0.000001</f>
        <v>50.9985943862076</v>
      </c>
    </row>
    <row r="93" customFormat="false" ht="12.75" hidden="false" customHeight="true" outlineLevel="0" collapsed="false">
      <c r="B93" s="22" t="n">
        <v>83</v>
      </c>
      <c r="C93" s="23" t="n">
        <f aca="false">'IR Calculator'!C14+(83-0.5)*('IR Calculator'!C15-'IR Calculator'!C14)/MIN('IR Calculator'!C16,500)</f>
        <v>8.33</v>
      </c>
      <c r="D93" s="24" t="n">
        <f aca="false">('IR Calculator'!C15-'IR Calculator'!C14)/MIN('IR Calculator'!C16,500)</f>
        <v>0.004</v>
      </c>
      <c r="E93" s="25" t="n">
        <f aca="false">(2*'IR Calculator'!$C$5*'IR Calculator'!$C$6^2/((('IR Calculator'!C14+(83-0.5)*('IR Calculator'!C15-'IR Calculator'!C14)/MIN('IR Calculator'!C16,500))*0.000001)^5))/(EXP(MIN('IR Calculator'!$C$5*'IR Calculator'!$C$6/((('IR Calculator'!C14+(83-0.5)*('IR Calculator'!C15-'IR Calculator'!C14)/MIN('IR Calculator'!C16,500))*0.000001)*'IR Calculator'!$C$7*'IR Calculator'!$C$19),700))-1)*0.000001</f>
        <v>50.9778469302214</v>
      </c>
    </row>
    <row r="94" customFormat="false" ht="12.75" hidden="false" customHeight="true" outlineLevel="0" collapsed="false">
      <c r="B94" s="26" t="n">
        <v>84</v>
      </c>
      <c r="C94" s="27" t="n">
        <f aca="false">'IR Calculator'!C14+(84-0.5)*('IR Calculator'!C15-'IR Calculator'!C14)/MIN('IR Calculator'!C16,500)</f>
        <v>8.334</v>
      </c>
      <c r="D94" s="28" t="n">
        <f aca="false">('IR Calculator'!C15-'IR Calculator'!C14)/MIN('IR Calculator'!C16,500)</f>
        <v>0.004</v>
      </c>
      <c r="E94" s="29" t="n">
        <f aca="false">(2*'IR Calculator'!$C$5*'IR Calculator'!$C$6^2/((('IR Calculator'!C14+(84-0.5)*('IR Calculator'!C15-'IR Calculator'!C14)/MIN('IR Calculator'!C16,500))*0.000001)^5))/(EXP(MIN('IR Calculator'!$C$5*'IR Calculator'!$C$6/((('IR Calculator'!C14+(84-0.5)*('IR Calculator'!C15-'IR Calculator'!C14)/MIN('IR Calculator'!C16,500))*0.000001)*'IR Calculator'!$C$7*'IR Calculator'!$C$19),700))-1)*0.000001</f>
        <v>50.9570725139304</v>
      </c>
    </row>
    <row r="95" customFormat="false" ht="12.75" hidden="false" customHeight="true" outlineLevel="0" collapsed="false">
      <c r="B95" s="22" t="n">
        <v>85</v>
      </c>
      <c r="C95" s="23" t="n">
        <f aca="false">'IR Calculator'!C14+(85-0.5)*('IR Calculator'!C15-'IR Calculator'!C14)/MIN('IR Calculator'!C16,500)</f>
        <v>8.338</v>
      </c>
      <c r="D95" s="24" t="n">
        <f aca="false">('IR Calculator'!C15-'IR Calculator'!C14)/MIN('IR Calculator'!C16,500)</f>
        <v>0.004</v>
      </c>
      <c r="E95" s="25" t="n">
        <f aca="false">(2*'IR Calculator'!$C$5*'IR Calculator'!$C$6^2/((('IR Calculator'!C14+(85-0.5)*('IR Calculator'!C15-'IR Calculator'!C14)/MIN('IR Calculator'!C16,500))*0.000001)^5))/(EXP(MIN('IR Calculator'!$C$5*'IR Calculator'!$C$6/((('IR Calculator'!C14+(85-0.5)*('IR Calculator'!C15-'IR Calculator'!C14)/MIN('IR Calculator'!C16,500))*0.000001)*'IR Calculator'!$C$7*'IR Calculator'!$C$19),700))-1)*0.000001</f>
        <v>50.9362712582689</v>
      </c>
    </row>
    <row r="96" customFormat="false" ht="12.75" hidden="false" customHeight="true" outlineLevel="0" collapsed="false">
      <c r="B96" s="26" t="n">
        <v>86</v>
      </c>
      <c r="C96" s="27" t="n">
        <f aca="false">'IR Calculator'!C14+(86-0.5)*('IR Calculator'!C15-'IR Calculator'!C14)/MIN('IR Calculator'!C16,500)</f>
        <v>8.342</v>
      </c>
      <c r="D96" s="28" t="n">
        <f aca="false">('IR Calculator'!C15-'IR Calculator'!C14)/MIN('IR Calculator'!C16,500)</f>
        <v>0.004</v>
      </c>
      <c r="E96" s="29" t="n">
        <f aca="false">(2*'IR Calculator'!$C$5*'IR Calculator'!$C$6^2/((('IR Calculator'!C14+(86-0.5)*('IR Calculator'!C15-'IR Calculator'!C14)/MIN('IR Calculator'!C16,500))*0.000001)^5))/(EXP(MIN('IR Calculator'!$C$5*'IR Calculator'!$C$6/((('IR Calculator'!C14+(86-0.5)*('IR Calculator'!C15-'IR Calculator'!C14)/MIN('IR Calculator'!C16,500))*0.000001)*'IR Calculator'!$C$7*'IR Calculator'!$C$19),700))-1)*0.000001</f>
        <v>50.9154432838932</v>
      </c>
    </row>
    <row r="97" customFormat="false" ht="12.75" hidden="false" customHeight="true" outlineLevel="0" collapsed="false">
      <c r="B97" s="22" t="n">
        <v>87</v>
      </c>
      <c r="C97" s="23" t="n">
        <f aca="false">'IR Calculator'!C14+(87-0.5)*('IR Calculator'!C15-'IR Calculator'!C14)/MIN('IR Calculator'!C16,500)</f>
        <v>8.346</v>
      </c>
      <c r="D97" s="24" t="n">
        <f aca="false">('IR Calculator'!C15-'IR Calculator'!C14)/MIN('IR Calculator'!C16,500)</f>
        <v>0.004</v>
      </c>
      <c r="E97" s="25" t="n">
        <f aca="false">(2*'IR Calculator'!$C$5*'IR Calculator'!$C$6^2/((('IR Calculator'!C14+(87-0.5)*('IR Calculator'!C15-'IR Calculator'!C14)/MIN('IR Calculator'!C16,500))*0.000001)^5))/(EXP(MIN('IR Calculator'!$C$5*'IR Calculator'!$C$6/((('IR Calculator'!C14+(87-0.5)*('IR Calculator'!C15-'IR Calculator'!C14)/MIN('IR Calculator'!C16,500))*0.000001)*'IR Calculator'!$C$7*'IR Calculator'!$C$19),700))-1)*0.000001</f>
        <v>50.8945887111822</v>
      </c>
    </row>
    <row r="98" customFormat="false" ht="12.75" hidden="false" customHeight="true" outlineLevel="0" collapsed="false">
      <c r="B98" s="26" t="n">
        <v>88</v>
      </c>
      <c r="C98" s="27" t="n">
        <f aca="false">'IR Calculator'!C14+(88-0.5)*('IR Calculator'!C15-'IR Calculator'!C14)/MIN('IR Calculator'!C16,500)</f>
        <v>8.35</v>
      </c>
      <c r="D98" s="28" t="n">
        <f aca="false">('IR Calculator'!C15-'IR Calculator'!C14)/MIN('IR Calculator'!C16,500)</f>
        <v>0.004</v>
      </c>
      <c r="E98" s="29" t="n">
        <f aca="false">(2*'IR Calculator'!$C$5*'IR Calculator'!$C$6^2/((('IR Calculator'!C14+(88-0.5)*('IR Calculator'!C15-'IR Calculator'!C14)/MIN('IR Calculator'!C16,500))*0.000001)^5))/(EXP(MIN('IR Calculator'!$C$5*'IR Calculator'!$C$6/((('IR Calculator'!C14+(88-0.5)*('IR Calculator'!C15-'IR Calculator'!C14)/MIN('IR Calculator'!C16,500))*0.000001)*'IR Calculator'!$C$7*'IR Calculator'!$C$19),700))-1)*0.000001</f>
        <v>50.8737076602374</v>
      </c>
    </row>
    <row r="99" customFormat="false" ht="12.75" hidden="false" customHeight="true" outlineLevel="0" collapsed="false">
      <c r="B99" s="22" t="n">
        <v>89</v>
      </c>
      <c r="C99" s="23" t="n">
        <f aca="false">'IR Calculator'!C14+(89-0.5)*('IR Calculator'!C15-'IR Calculator'!C14)/MIN('IR Calculator'!C16,500)</f>
        <v>8.354</v>
      </c>
      <c r="D99" s="24" t="n">
        <f aca="false">('IR Calculator'!C15-'IR Calculator'!C14)/MIN('IR Calculator'!C16,500)</f>
        <v>0.004</v>
      </c>
      <c r="E99" s="25" t="n">
        <f aca="false">(2*'IR Calculator'!$C$5*'IR Calculator'!$C$6^2/((('IR Calculator'!C14+(89-0.5)*('IR Calculator'!C15-'IR Calculator'!C14)/MIN('IR Calculator'!C16,500))*0.000001)^5))/(EXP(MIN('IR Calculator'!$C$5*'IR Calculator'!$C$6/((('IR Calculator'!C14+(89-0.5)*('IR Calculator'!C15-'IR Calculator'!C14)/MIN('IR Calculator'!C16,500))*0.000001)*'IR Calculator'!$C$7*'IR Calculator'!$C$19),700))-1)*0.000001</f>
        <v>50.8528002508836</v>
      </c>
    </row>
    <row r="100" customFormat="false" ht="12.75" hidden="false" customHeight="true" outlineLevel="0" collapsed="false">
      <c r="B100" s="26" t="n">
        <v>90</v>
      </c>
      <c r="C100" s="27" t="n">
        <f aca="false">'IR Calculator'!C14+(90-0.5)*('IR Calculator'!C15-'IR Calculator'!C14)/MIN('IR Calculator'!C16,500)</f>
        <v>8.358</v>
      </c>
      <c r="D100" s="28" t="n">
        <f aca="false">('IR Calculator'!C15-'IR Calculator'!C14)/MIN('IR Calculator'!C16,500)</f>
        <v>0.004</v>
      </c>
      <c r="E100" s="29" t="n">
        <f aca="false">(2*'IR Calculator'!$C$5*'IR Calculator'!$C$6^2/((('IR Calculator'!C14+(90-0.5)*('IR Calculator'!C15-'IR Calculator'!C14)/MIN('IR Calculator'!C16,500))*0.000001)^5))/(EXP(MIN('IR Calculator'!$C$5*'IR Calculator'!$C$6/((('IR Calculator'!C14+(90-0.5)*('IR Calculator'!C15-'IR Calculator'!C14)/MIN('IR Calculator'!C16,500))*0.000001)*'IR Calculator'!$C$7*'IR Calculator'!$C$19),700))-1)*0.000001</f>
        <v>50.8318666026684</v>
      </c>
    </row>
    <row r="101" customFormat="false" ht="12.75" hidden="false" customHeight="true" outlineLevel="0" collapsed="false">
      <c r="B101" s="22" t="n">
        <v>91</v>
      </c>
      <c r="C101" s="23" t="n">
        <f aca="false">'IR Calculator'!C14+(91-0.5)*('IR Calculator'!C15-'IR Calculator'!C14)/MIN('IR Calculator'!C16,500)</f>
        <v>8.362</v>
      </c>
      <c r="D101" s="24" t="n">
        <f aca="false">('IR Calculator'!C15-'IR Calculator'!C14)/MIN('IR Calculator'!C16,500)</f>
        <v>0.004</v>
      </c>
      <c r="E101" s="25" t="n">
        <f aca="false">(2*'IR Calculator'!$C$5*'IR Calculator'!$C$6^2/((('IR Calculator'!C14+(91-0.5)*('IR Calculator'!C15-'IR Calculator'!C14)/MIN('IR Calculator'!C16,500))*0.000001)^5))/(EXP(MIN('IR Calculator'!$C$5*'IR Calculator'!$C$6/((('IR Calculator'!C14+(91-0.5)*('IR Calculator'!C15-'IR Calculator'!C14)/MIN('IR Calculator'!C16,500))*0.000001)*'IR Calculator'!$C$7*'IR Calculator'!$C$19),700))-1)*0.000001</f>
        <v>50.8109068348637</v>
      </c>
    </row>
    <row r="102" customFormat="false" ht="12.75" hidden="false" customHeight="true" outlineLevel="0" collapsed="false">
      <c r="B102" s="26" t="n">
        <v>92</v>
      </c>
      <c r="C102" s="27" t="n">
        <f aca="false">'IR Calculator'!C14+(92-0.5)*('IR Calculator'!C15-'IR Calculator'!C14)/MIN('IR Calculator'!C16,500)</f>
        <v>8.366</v>
      </c>
      <c r="D102" s="28" t="n">
        <f aca="false">('IR Calculator'!C15-'IR Calculator'!C14)/MIN('IR Calculator'!C16,500)</f>
        <v>0.004</v>
      </c>
      <c r="E102" s="29" t="n">
        <f aca="false">(2*'IR Calculator'!$C$5*'IR Calculator'!$C$6^2/((('IR Calculator'!C14+(92-0.5)*('IR Calculator'!C15-'IR Calculator'!C14)/MIN('IR Calculator'!C16,500))*0.000001)^5))/(EXP(MIN('IR Calculator'!$C$5*'IR Calculator'!$C$6/((('IR Calculator'!C14+(92-0.5)*('IR Calculator'!C15-'IR Calculator'!C14)/MIN('IR Calculator'!C16,500))*0.000001)*'IR Calculator'!$C$7*'IR Calculator'!$C$19),700))-1)*0.000001</f>
        <v>50.789921066465</v>
      </c>
    </row>
    <row r="103" customFormat="false" ht="12.75" hidden="false" customHeight="true" outlineLevel="0" collapsed="false">
      <c r="B103" s="22" t="n">
        <v>93</v>
      </c>
      <c r="C103" s="23" t="n">
        <f aca="false">'IR Calculator'!C14+(93-0.5)*('IR Calculator'!C15-'IR Calculator'!C14)/MIN('IR Calculator'!C16,500)</f>
        <v>8.37</v>
      </c>
      <c r="D103" s="24" t="n">
        <f aca="false">('IR Calculator'!C15-'IR Calculator'!C14)/MIN('IR Calculator'!C16,500)</f>
        <v>0.004</v>
      </c>
      <c r="E103" s="25" t="n">
        <f aca="false">(2*'IR Calculator'!$C$5*'IR Calculator'!$C$6^2/((('IR Calculator'!C14+(93-0.5)*('IR Calculator'!C15-'IR Calculator'!C14)/MIN('IR Calculator'!C16,500))*0.000001)^5))/(EXP(MIN('IR Calculator'!$C$5*'IR Calculator'!$C$6/((('IR Calculator'!C14+(93-0.5)*('IR Calculator'!C15-'IR Calculator'!C14)/MIN('IR Calculator'!C16,500))*0.000001)*'IR Calculator'!$C$7*'IR Calculator'!$C$19),700))-1)*0.000001</f>
        <v>50.7689094161922</v>
      </c>
    </row>
    <row r="104" customFormat="false" ht="12.75" hidden="false" customHeight="true" outlineLevel="0" collapsed="false">
      <c r="B104" s="26" t="n">
        <v>94</v>
      </c>
      <c r="C104" s="27" t="n">
        <f aca="false">'IR Calculator'!C14+(94-0.5)*('IR Calculator'!C15-'IR Calculator'!C14)/MIN('IR Calculator'!C16,500)</f>
        <v>8.374</v>
      </c>
      <c r="D104" s="28" t="n">
        <f aca="false">('IR Calculator'!C15-'IR Calculator'!C14)/MIN('IR Calculator'!C16,500)</f>
        <v>0.004</v>
      </c>
      <c r="E104" s="29" t="n">
        <f aca="false">(2*'IR Calculator'!$C$5*'IR Calculator'!$C$6^2/((('IR Calculator'!C14+(94-0.5)*('IR Calculator'!C15-'IR Calculator'!C14)/MIN('IR Calculator'!C16,500))*0.000001)^5))/(EXP(MIN('IR Calculator'!$C$5*'IR Calculator'!$C$6/((('IR Calculator'!C14+(94-0.5)*('IR Calculator'!C15-'IR Calculator'!C14)/MIN('IR Calculator'!C16,500))*0.000001)*'IR Calculator'!$C$7*'IR Calculator'!$C$19),700))-1)*0.000001</f>
        <v>50.7478720024899</v>
      </c>
    </row>
    <row r="105" customFormat="false" ht="12.75" hidden="false" customHeight="true" outlineLevel="0" collapsed="false">
      <c r="B105" s="22" t="n">
        <v>95</v>
      </c>
      <c r="C105" s="23" t="n">
        <f aca="false">'IR Calculator'!C14+(95-0.5)*('IR Calculator'!C15-'IR Calculator'!C14)/MIN('IR Calculator'!C16,500)</f>
        <v>8.378</v>
      </c>
      <c r="D105" s="24" t="n">
        <f aca="false">('IR Calculator'!C15-'IR Calculator'!C14)/MIN('IR Calculator'!C16,500)</f>
        <v>0.004</v>
      </c>
      <c r="E105" s="25" t="n">
        <f aca="false">(2*'IR Calculator'!$C$5*'IR Calculator'!$C$6^2/((('IR Calculator'!C14+(95-0.5)*('IR Calculator'!C15-'IR Calculator'!C14)/MIN('IR Calculator'!C16,500))*0.000001)^5))/(EXP(MIN('IR Calculator'!$C$5*'IR Calculator'!$C$6/((('IR Calculator'!C14+(95-0.5)*('IR Calculator'!C15-'IR Calculator'!C14)/MIN('IR Calculator'!C16,500))*0.000001)*'IR Calculator'!$C$7*'IR Calculator'!$C$19),700))-1)*0.000001</f>
        <v>50.7268089435275</v>
      </c>
    </row>
    <row r="106" customFormat="false" ht="12.75" hidden="false" customHeight="true" outlineLevel="0" collapsed="false">
      <c r="B106" s="26" t="n">
        <v>96</v>
      </c>
      <c r="C106" s="27" t="n">
        <f aca="false">'IR Calculator'!C14+(96-0.5)*('IR Calculator'!C15-'IR Calculator'!C14)/MIN('IR Calculator'!C16,500)</f>
        <v>8.382</v>
      </c>
      <c r="D106" s="28" t="n">
        <f aca="false">('IR Calculator'!C15-'IR Calculator'!C14)/MIN('IR Calculator'!C16,500)</f>
        <v>0.004</v>
      </c>
      <c r="E106" s="29" t="n">
        <f aca="false">(2*'IR Calculator'!$C$5*'IR Calculator'!$C$6^2/((('IR Calculator'!C14+(96-0.5)*('IR Calculator'!C15-'IR Calculator'!C14)/MIN('IR Calculator'!C16,500))*0.000001)^5))/(EXP(MIN('IR Calculator'!$C$5*'IR Calculator'!$C$6/((('IR Calculator'!C14+(96-0.5)*('IR Calculator'!C15-'IR Calculator'!C14)/MIN('IR Calculator'!C16,500))*0.000001)*'IR Calculator'!$C$7*'IR Calculator'!$C$19),700))-1)*0.000001</f>
        <v>50.7057203571996</v>
      </c>
    </row>
    <row r="107" customFormat="false" ht="12.75" hidden="false" customHeight="true" outlineLevel="0" collapsed="false">
      <c r="B107" s="22" t="n">
        <v>97</v>
      </c>
      <c r="C107" s="23" t="n">
        <f aca="false">'IR Calculator'!C14+(97-0.5)*('IR Calculator'!C15-'IR Calculator'!C14)/MIN('IR Calculator'!C16,500)</f>
        <v>8.386</v>
      </c>
      <c r="D107" s="24" t="n">
        <f aca="false">('IR Calculator'!C15-'IR Calculator'!C14)/MIN('IR Calculator'!C16,500)</f>
        <v>0.004</v>
      </c>
      <c r="E107" s="25" t="n">
        <f aca="false">(2*'IR Calculator'!$C$5*'IR Calculator'!$C$6^2/((('IR Calculator'!C14+(97-0.5)*('IR Calculator'!C15-'IR Calculator'!C14)/MIN('IR Calculator'!C16,500))*0.000001)^5))/(EXP(MIN('IR Calculator'!$C$5*'IR Calculator'!$C$6/((('IR Calculator'!C14+(97-0.5)*('IR Calculator'!C15-'IR Calculator'!C14)/MIN('IR Calculator'!C16,500))*0.000001)*'IR Calculator'!$C$7*'IR Calculator'!$C$19),700))-1)*0.000001</f>
        <v>50.6846063611267</v>
      </c>
    </row>
    <row r="108" customFormat="false" ht="12.75" hidden="false" customHeight="true" outlineLevel="0" collapsed="false">
      <c r="B108" s="26" t="n">
        <v>98</v>
      </c>
      <c r="C108" s="27" t="n">
        <f aca="false">'IR Calculator'!C14+(98-0.5)*('IR Calculator'!C15-'IR Calculator'!C14)/MIN('IR Calculator'!C16,500)</f>
        <v>8.39</v>
      </c>
      <c r="D108" s="28" t="n">
        <f aca="false">('IR Calculator'!C15-'IR Calculator'!C14)/MIN('IR Calculator'!C16,500)</f>
        <v>0.004</v>
      </c>
      <c r="E108" s="29" t="n">
        <f aca="false">(2*'IR Calculator'!$C$5*'IR Calculator'!$C$6^2/((('IR Calculator'!C14+(98-0.5)*('IR Calculator'!C15-'IR Calculator'!C14)/MIN('IR Calculator'!C16,500))*0.000001)^5))/(EXP(MIN('IR Calculator'!$C$5*'IR Calculator'!$C$6/((('IR Calculator'!C14+(98-0.5)*('IR Calculator'!C15-'IR Calculator'!C14)/MIN('IR Calculator'!C16,500))*0.000001)*'IR Calculator'!$C$7*'IR Calculator'!$C$19),700))-1)*0.000001</f>
        <v>50.6634670726549</v>
      </c>
    </row>
    <row r="109" customFormat="false" ht="12.75" hidden="false" customHeight="true" outlineLevel="0" collapsed="false">
      <c r="B109" s="22" t="n">
        <v>99</v>
      </c>
      <c r="C109" s="23" t="n">
        <f aca="false">'IR Calculator'!C14+(99-0.5)*('IR Calculator'!C15-'IR Calculator'!C14)/MIN('IR Calculator'!C16,500)</f>
        <v>8.394</v>
      </c>
      <c r="D109" s="24" t="n">
        <f aca="false">('IR Calculator'!C15-'IR Calculator'!C14)/MIN('IR Calculator'!C16,500)</f>
        <v>0.004</v>
      </c>
      <c r="E109" s="25" t="n">
        <f aca="false">(2*'IR Calculator'!$C$5*'IR Calculator'!$C$6^2/((('IR Calculator'!C14+(99-0.5)*('IR Calculator'!C15-'IR Calculator'!C14)/MIN('IR Calculator'!C16,500))*0.000001)^5))/(EXP(MIN('IR Calculator'!$C$5*'IR Calculator'!$C$6/((('IR Calculator'!C14+(99-0.5)*('IR Calculator'!C15-'IR Calculator'!C14)/MIN('IR Calculator'!C16,500))*0.000001)*'IR Calculator'!$C$7*'IR Calculator'!$C$19),700))-1)*0.000001</f>
        <v>50.6423026088566</v>
      </c>
    </row>
    <row r="110" customFormat="false" ht="12.75" hidden="false" customHeight="true" outlineLevel="0" collapsed="false">
      <c r="B110" s="26" t="n">
        <v>100</v>
      </c>
      <c r="C110" s="27" t="n">
        <f aca="false">'IR Calculator'!C14+(100-0.5)*('IR Calculator'!C15-'IR Calculator'!C14)/MIN('IR Calculator'!C16,500)</f>
        <v>8.398</v>
      </c>
      <c r="D110" s="28" t="n">
        <f aca="false">('IR Calculator'!C15-'IR Calculator'!C14)/MIN('IR Calculator'!C16,500)</f>
        <v>0.004</v>
      </c>
      <c r="E110" s="29" t="n">
        <f aca="false">(2*'IR Calculator'!$C$5*'IR Calculator'!$C$6^2/((('IR Calculator'!C14+(100-0.5)*('IR Calculator'!C15-'IR Calculator'!C14)/MIN('IR Calculator'!C16,500))*0.000001)^5))/(EXP(MIN('IR Calculator'!$C$5*'IR Calculator'!$C$6/((('IR Calculator'!C14+(100-0.5)*('IR Calculator'!C15-'IR Calculator'!C14)/MIN('IR Calculator'!C16,500))*0.000001)*'IR Calculator'!$C$7*'IR Calculator'!$C$19),700))-1)*0.000001</f>
        <v>50.6211130865309</v>
      </c>
    </row>
    <row r="111" customFormat="false" ht="12.75" hidden="false" customHeight="true" outlineLevel="0" collapsed="false">
      <c r="B111" s="22" t="n">
        <v>101</v>
      </c>
      <c r="C111" s="23" t="n">
        <f aca="false">'IR Calculator'!C14+(101-0.5)*('IR Calculator'!C15-'IR Calculator'!C14)/MIN('IR Calculator'!C16,500)</f>
        <v>8.402</v>
      </c>
      <c r="D111" s="24" t="n">
        <f aca="false">('IR Calculator'!C15-'IR Calculator'!C14)/MIN('IR Calculator'!C16,500)</f>
        <v>0.004</v>
      </c>
      <c r="E111" s="25" t="n">
        <f aca="false">(2*'IR Calculator'!$C$5*'IR Calculator'!$C$6^2/((('IR Calculator'!C14+(101-0.5)*('IR Calculator'!C15-'IR Calculator'!C14)/MIN('IR Calculator'!C16,500))*0.000001)^5))/(EXP(MIN('IR Calculator'!$C$5*'IR Calculator'!$C$6/((('IR Calculator'!C14+(101-0.5)*('IR Calculator'!C15-'IR Calculator'!C14)/MIN('IR Calculator'!C16,500))*0.000001)*'IR Calculator'!$C$7*'IR Calculator'!$C$19),700))-1)*0.000001</f>
        <v>50.5998986222036</v>
      </c>
    </row>
    <row r="112" customFormat="false" ht="12.75" hidden="false" customHeight="true" outlineLevel="0" collapsed="false">
      <c r="B112" s="26" t="n">
        <v>102</v>
      </c>
      <c r="C112" s="27" t="n">
        <f aca="false">'IR Calculator'!C14+(102-0.5)*('IR Calculator'!C15-'IR Calculator'!C14)/MIN('IR Calculator'!C16,500)</f>
        <v>8.406</v>
      </c>
      <c r="D112" s="28" t="n">
        <f aca="false">('IR Calculator'!C15-'IR Calculator'!C14)/MIN('IR Calculator'!C16,500)</f>
        <v>0.004</v>
      </c>
      <c r="E112" s="29" t="n">
        <f aca="false">(2*'IR Calculator'!$C$5*'IR Calculator'!$C$6^2/((('IR Calculator'!C14+(102-0.5)*('IR Calculator'!C15-'IR Calculator'!C14)/MIN('IR Calculator'!C16,500))*0.000001)^5))/(EXP(MIN('IR Calculator'!$C$5*'IR Calculator'!$C$6/((('IR Calculator'!C14+(102-0.5)*('IR Calculator'!C15-'IR Calculator'!C14)/MIN('IR Calculator'!C16,500))*0.000001)*'IR Calculator'!$C$7*'IR Calculator'!$C$19),700))-1)*0.000001</f>
        <v>50.5786593321277</v>
      </c>
    </row>
    <row r="113" customFormat="false" ht="12.75" hidden="false" customHeight="true" outlineLevel="0" collapsed="false">
      <c r="B113" s="22" t="n">
        <v>103</v>
      </c>
      <c r="C113" s="23" t="n">
        <f aca="false">'IR Calculator'!C14+(103-0.5)*('IR Calculator'!C15-'IR Calculator'!C14)/MIN('IR Calculator'!C16,500)</f>
        <v>8.41</v>
      </c>
      <c r="D113" s="24" t="n">
        <f aca="false">('IR Calculator'!C15-'IR Calculator'!C14)/MIN('IR Calculator'!C16,500)</f>
        <v>0.004</v>
      </c>
      <c r="E113" s="25" t="n">
        <f aca="false">(2*'IR Calculator'!$C$5*'IR Calculator'!$C$6^2/((('IR Calculator'!C14+(103-0.5)*('IR Calculator'!C15-'IR Calculator'!C14)/MIN('IR Calculator'!C16,500))*0.000001)^5))/(EXP(MIN('IR Calculator'!$C$5*'IR Calculator'!$C$6/((('IR Calculator'!C14+(103-0.5)*('IR Calculator'!C15-'IR Calculator'!C14)/MIN('IR Calculator'!C16,500))*0.000001)*'IR Calculator'!$C$7*'IR Calculator'!$C$19),700))-1)*0.000001</f>
        <v>50.557395332284</v>
      </c>
    </row>
    <row r="114" customFormat="false" ht="12.75" hidden="false" customHeight="true" outlineLevel="0" collapsed="false">
      <c r="B114" s="26" t="n">
        <v>104</v>
      </c>
      <c r="C114" s="27" t="n">
        <f aca="false">'IR Calculator'!C14+(104-0.5)*('IR Calculator'!C15-'IR Calculator'!C14)/MIN('IR Calculator'!C16,500)</f>
        <v>8.414</v>
      </c>
      <c r="D114" s="28" t="n">
        <f aca="false">('IR Calculator'!C15-'IR Calculator'!C14)/MIN('IR Calculator'!C16,500)</f>
        <v>0.004</v>
      </c>
      <c r="E114" s="29" t="n">
        <f aca="false">(2*'IR Calculator'!$C$5*'IR Calculator'!$C$6^2/((('IR Calculator'!C14+(104-0.5)*('IR Calculator'!C15-'IR Calculator'!C14)/MIN('IR Calculator'!C16,500))*0.000001)^5))/(EXP(MIN('IR Calculator'!$C$5*'IR Calculator'!$C$6/((('IR Calculator'!C14+(104-0.5)*('IR Calculator'!C15-'IR Calculator'!C14)/MIN('IR Calculator'!C16,500))*0.000001)*'IR Calculator'!$C$7*'IR Calculator'!$C$19),700))-1)*0.000001</f>
        <v>50.5361067383809</v>
      </c>
    </row>
    <row r="115" customFormat="false" ht="12.75" hidden="false" customHeight="true" outlineLevel="0" collapsed="false">
      <c r="B115" s="22" t="n">
        <v>105</v>
      </c>
      <c r="C115" s="23" t="n">
        <f aca="false">'IR Calculator'!C14+(105-0.5)*('IR Calculator'!C15-'IR Calculator'!C14)/MIN('IR Calculator'!C16,500)</f>
        <v>8.418</v>
      </c>
      <c r="D115" s="24" t="n">
        <f aca="false">('IR Calculator'!C15-'IR Calculator'!C14)/MIN('IR Calculator'!C16,500)</f>
        <v>0.004</v>
      </c>
      <c r="E115" s="25" t="n">
        <f aca="false">(2*'IR Calculator'!$C$5*'IR Calculator'!$C$6^2/((('IR Calculator'!C14+(105-0.5)*('IR Calculator'!C15-'IR Calculator'!C14)/MIN('IR Calculator'!C16,500))*0.000001)^5))/(EXP(MIN('IR Calculator'!$C$5*'IR Calculator'!$C$6/((('IR Calculator'!C14+(105-0.5)*('IR Calculator'!C15-'IR Calculator'!C14)/MIN('IR Calculator'!C16,500))*0.000001)*'IR Calculator'!$C$7*'IR Calculator'!$C$19),700))-1)*0.000001</f>
        <v>50.5147936658549</v>
      </c>
    </row>
    <row r="116" customFormat="false" ht="12.75" hidden="false" customHeight="true" outlineLevel="0" collapsed="false">
      <c r="B116" s="26" t="n">
        <v>106</v>
      </c>
      <c r="C116" s="27" t="n">
        <f aca="false">'IR Calculator'!C14+(106-0.5)*('IR Calculator'!C15-'IR Calculator'!C14)/MIN('IR Calculator'!C16,500)</f>
        <v>8.422</v>
      </c>
      <c r="D116" s="28" t="n">
        <f aca="false">('IR Calculator'!C15-'IR Calculator'!C14)/MIN('IR Calculator'!C16,500)</f>
        <v>0.004</v>
      </c>
      <c r="E116" s="29" t="n">
        <f aca="false">(2*'IR Calculator'!$C$5*'IR Calculator'!$C$6^2/((('IR Calculator'!C14+(106-0.5)*('IR Calculator'!C15-'IR Calculator'!C14)/MIN('IR Calculator'!C16,500))*0.000001)^5))/(EXP(MIN('IR Calculator'!$C$5*'IR Calculator'!$C$6/((('IR Calculator'!C14+(106-0.5)*('IR Calculator'!C15-'IR Calculator'!C14)/MIN('IR Calculator'!C16,500))*0.000001)*'IR Calculator'!$C$7*'IR Calculator'!$C$19),700))-1)*0.000001</f>
        <v>50.4934562298714</v>
      </c>
    </row>
    <row r="117" customFormat="false" ht="12.75" hidden="false" customHeight="true" outlineLevel="0" collapsed="false">
      <c r="B117" s="22" t="n">
        <v>107</v>
      </c>
      <c r="C117" s="23" t="n">
        <f aca="false">'IR Calculator'!C14+(107-0.5)*('IR Calculator'!C15-'IR Calculator'!C14)/MIN('IR Calculator'!C16,500)</f>
        <v>8.426</v>
      </c>
      <c r="D117" s="24" t="n">
        <f aca="false">('IR Calculator'!C15-'IR Calculator'!C14)/MIN('IR Calculator'!C16,500)</f>
        <v>0.004</v>
      </c>
      <c r="E117" s="25" t="n">
        <f aca="false">(2*'IR Calculator'!$C$5*'IR Calculator'!$C$6^2/((('IR Calculator'!C14+(107-0.5)*('IR Calculator'!C15-'IR Calculator'!C14)/MIN('IR Calculator'!C16,500))*0.000001)^5))/(EXP(MIN('IR Calculator'!$C$5*'IR Calculator'!$C$6/((('IR Calculator'!C14+(107-0.5)*('IR Calculator'!C15-'IR Calculator'!C14)/MIN('IR Calculator'!C16,500))*0.000001)*'IR Calculator'!$C$7*'IR Calculator'!$C$19),700))-1)*0.000001</f>
        <v>50.4720945453244</v>
      </c>
    </row>
    <row r="118" customFormat="false" ht="12.75" hidden="false" customHeight="true" outlineLevel="0" collapsed="false">
      <c r="B118" s="26" t="n">
        <v>108</v>
      </c>
      <c r="C118" s="27" t="n">
        <f aca="false">'IR Calculator'!C14+(108-0.5)*('IR Calculator'!C15-'IR Calculator'!C14)/MIN('IR Calculator'!C16,500)</f>
        <v>8.43</v>
      </c>
      <c r="D118" s="28" t="n">
        <f aca="false">('IR Calculator'!C15-'IR Calculator'!C14)/MIN('IR Calculator'!C16,500)</f>
        <v>0.004</v>
      </c>
      <c r="E118" s="29" t="n">
        <f aca="false">(2*'IR Calculator'!$C$5*'IR Calculator'!$C$6^2/((('IR Calculator'!C14+(108-0.5)*('IR Calculator'!C15-'IR Calculator'!C14)/MIN('IR Calculator'!C16,500))*0.000001)^5))/(EXP(MIN('IR Calculator'!$C$5*'IR Calculator'!$C$6/((('IR Calculator'!C14+(108-0.5)*('IR Calculator'!C15-'IR Calculator'!C14)/MIN('IR Calculator'!C16,500))*0.000001)*'IR Calculator'!$C$7*'IR Calculator'!$C$19),700))-1)*0.000001</f>
        <v>50.4507087268371</v>
      </c>
    </row>
    <row r="119" customFormat="false" ht="12.75" hidden="false" customHeight="true" outlineLevel="0" collapsed="false">
      <c r="B119" s="22" t="n">
        <v>109</v>
      </c>
      <c r="C119" s="23" t="n">
        <f aca="false">'IR Calculator'!C14+(109-0.5)*('IR Calculator'!C15-'IR Calculator'!C14)/MIN('IR Calculator'!C16,500)</f>
        <v>8.434</v>
      </c>
      <c r="D119" s="24" t="n">
        <f aca="false">('IR Calculator'!C15-'IR Calculator'!C14)/MIN('IR Calculator'!C16,500)</f>
        <v>0.004</v>
      </c>
      <c r="E119" s="25" t="n">
        <f aca="false">(2*'IR Calculator'!$C$5*'IR Calculator'!$C$6^2/((('IR Calculator'!C14+(109-0.5)*('IR Calculator'!C15-'IR Calculator'!C14)/MIN('IR Calculator'!C16,500))*0.000001)^5))/(EXP(MIN('IR Calculator'!$C$5*'IR Calculator'!$C$6/((('IR Calculator'!C14+(109-0.5)*('IR Calculator'!C15-'IR Calculator'!C14)/MIN('IR Calculator'!C16,500))*0.000001)*'IR Calculator'!$C$7*'IR Calculator'!$C$19),700))-1)*0.000001</f>
        <v>50.4292988887625</v>
      </c>
    </row>
    <row r="120" customFormat="false" ht="12.75" hidden="false" customHeight="true" outlineLevel="0" collapsed="false">
      <c r="B120" s="26" t="n">
        <v>110</v>
      </c>
      <c r="C120" s="27" t="n">
        <f aca="false">'IR Calculator'!C14+(110-0.5)*('IR Calculator'!C15-'IR Calculator'!C14)/MIN('IR Calculator'!C16,500)</f>
        <v>8.438</v>
      </c>
      <c r="D120" s="28" t="n">
        <f aca="false">('IR Calculator'!C15-'IR Calculator'!C14)/MIN('IR Calculator'!C16,500)</f>
        <v>0.004</v>
      </c>
      <c r="E120" s="29" t="n">
        <f aca="false">(2*'IR Calculator'!$C$5*'IR Calculator'!$C$6^2/((('IR Calculator'!C14+(110-0.5)*('IR Calculator'!C15-'IR Calculator'!C14)/MIN('IR Calculator'!C16,500))*0.000001)^5))/(EXP(MIN('IR Calculator'!$C$5*'IR Calculator'!$C$6/((('IR Calculator'!C14+(110-0.5)*('IR Calculator'!C15-'IR Calculator'!C14)/MIN('IR Calculator'!C16,500))*0.000001)*'IR Calculator'!$C$7*'IR Calculator'!$C$19),700))-1)*0.000001</f>
        <v>50.407865145183</v>
      </c>
    </row>
    <row r="121" customFormat="false" ht="12.75" hidden="false" customHeight="true" outlineLevel="0" collapsed="false">
      <c r="B121" s="22" t="n">
        <v>111</v>
      </c>
      <c r="C121" s="23" t="n">
        <f aca="false">'IR Calculator'!C14+(111-0.5)*('IR Calculator'!C15-'IR Calculator'!C14)/MIN('IR Calculator'!C16,500)</f>
        <v>8.442</v>
      </c>
      <c r="D121" s="24" t="n">
        <f aca="false">('IR Calculator'!C15-'IR Calculator'!C14)/MIN('IR Calculator'!C16,500)</f>
        <v>0.004</v>
      </c>
      <c r="E121" s="25" t="n">
        <f aca="false">(2*'IR Calculator'!$C$5*'IR Calculator'!$C$6^2/((('IR Calculator'!C14+(111-0.5)*('IR Calculator'!C15-'IR Calculator'!C14)/MIN('IR Calculator'!C16,500))*0.000001)^5))/(EXP(MIN('IR Calculator'!$C$5*'IR Calculator'!$C$6/((('IR Calculator'!C14+(111-0.5)*('IR Calculator'!C15-'IR Calculator'!C14)/MIN('IR Calculator'!C16,500))*0.000001)*'IR Calculator'!$C$7*'IR Calculator'!$C$19),700))-1)*0.000001</f>
        <v>50.3864076099116</v>
      </c>
    </row>
    <row r="122" customFormat="false" ht="12.75" hidden="false" customHeight="true" outlineLevel="0" collapsed="false">
      <c r="B122" s="26" t="n">
        <v>112</v>
      </c>
      <c r="C122" s="27" t="n">
        <f aca="false">'IR Calculator'!C14+(112-0.5)*('IR Calculator'!C15-'IR Calculator'!C14)/MIN('IR Calculator'!C16,500)</f>
        <v>8.446</v>
      </c>
      <c r="D122" s="28" t="n">
        <f aca="false">('IR Calculator'!C15-'IR Calculator'!C14)/MIN('IR Calculator'!C16,500)</f>
        <v>0.004</v>
      </c>
      <c r="E122" s="29" t="n">
        <f aca="false">(2*'IR Calculator'!$C$5*'IR Calculator'!$C$6^2/((('IR Calculator'!C14+(112-0.5)*('IR Calculator'!C15-'IR Calculator'!C14)/MIN('IR Calculator'!C16,500))*0.000001)^5))/(EXP(MIN('IR Calculator'!$C$5*'IR Calculator'!$C$6/((('IR Calculator'!C14+(112-0.5)*('IR Calculator'!C15-'IR Calculator'!C14)/MIN('IR Calculator'!C16,500))*0.000001)*'IR Calculator'!$C$7*'IR Calculator'!$C$19),700))-1)*0.000001</f>
        <v>50.3649263964916</v>
      </c>
    </row>
    <row r="123" customFormat="false" ht="12.75" hidden="false" customHeight="true" outlineLevel="0" collapsed="false">
      <c r="B123" s="22" t="n">
        <v>113</v>
      </c>
      <c r="C123" s="23" t="n">
        <f aca="false">'IR Calculator'!C14+(113-0.5)*('IR Calculator'!C15-'IR Calculator'!C14)/MIN('IR Calculator'!C16,500)</f>
        <v>8.45</v>
      </c>
      <c r="D123" s="24" t="n">
        <f aca="false">('IR Calculator'!C15-'IR Calculator'!C14)/MIN('IR Calculator'!C16,500)</f>
        <v>0.004</v>
      </c>
      <c r="E123" s="25" t="n">
        <f aca="false">(2*'IR Calculator'!$C$5*'IR Calculator'!$C$6^2/((('IR Calculator'!C14+(113-0.5)*('IR Calculator'!C15-'IR Calculator'!C14)/MIN('IR Calculator'!C16,500))*0.000001)^5))/(EXP(MIN('IR Calculator'!$C$5*'IR Calculator'!$C$6/((('IR Calculator'!C14+(113-0.5)*('IR Calculator'!C15-'IR Calculator'!C14)/MIN('IR Calculator'!C16,500))*0.000001)*'IR Calculator'!$C$7*'IR Calculator'!$C$19),700))-1)*0.000001</f>
        <v>50.3434216181974</v>
      </c>
    </row>
    <row r="124" customFormat="false" ht="12.75" hidden="false" customHeight="true" outlineLevel="0" collapsed="false">
      <c r="B124" s="26" t="n">
        <v>114</v>
      </c>
      <c r="C124" s="27" t="n">
        <f aca="false">'IR Calculator'!C14+(114-0.5)*('IR Calculator'!C15-'IR Calculator'!C14)/MIN('IR Calculator'!C16,500)</f>
        <v>8.454</v>
      </c>
      <c r="D124" s="28" t="n">
        <f aca="false">('IR Calculator'!C15-'IR Calculator'!C14)/MIN('IR Calculator'!C16,500)</f>
        <v>0.004</v>
      </c>
      <c r="E124" s="29" t="n">
        <f aca="false">(2*'IR Calculator'!$C$5*'IR Calculator'!$C$6^2/((('IR Calculator'!C14+(114-0.5)*('IR Calculator'!C15-'IR Calculator'!C14)/MIN('IR Calculator'!C16,500))*0.000001)^5))/(EXP(MIN('IR Calculator'!$C$5*'IR Calculator'!$C$6/((('IR Calculator'!C14+(114-0.5)*('IR Calculator'!C15-'IR Calculator'!C14)/MIN('IR Calculator'!C16,500))*0.000001)*'IR Calculator'!$C$7*'IR Calculator'!$C$19),700))-1)*0.000001</f>
        <v>50.3218933880344</v>
      </c>
    </row>
    <row r="125" customFormat="false" ht="12.75" hidden="false" customHeight="true" outlineLevel="0" collapsed="false">
      <c r="B125" s="22" t="n">
        <v>115</v>
      </c>
      <c r="C125" s="23" t="n">
        <f aca="false">'IR Calculator'!C14+(115-0.5)*('IR Calculator'!C15-'IR Calculator'!C14)/MIN('IR Calculator'!C16,500)</f>
        <v>8.458</v>
      </c>
      <c r="D125" s="24" t="n">
        <f aca="false">('IR Calculator'!C15-'IR Calculator'!C14)/MIN('IR Calculator'!C16,500)</f>
        <v>0.004</v>
      </c>
      <c r="E125" s="25" t="n">
        <f aca="false">(2*'IR Calculator'!$C$5*'IR Calculator'!$C$6^2/((('IR Calculator'!C14+(115-0.5)*('IR Calculator'!C15-'IR Calculator'!C14)/MIN('IR Calculator'!C16,500))*0.000001)^5))/(EXP(MIN('IR Calculator'!$C$5*'IR Calculator'!$C$6/((('IR Calculator'!C14+(115-0.5)*('IR Calculator'!C15-'IR Calculator'!C14)/MIN('IR Calculator'!C16,500))*0.000001)*'IR Calculator'!$C$7*'IR Calculator'!$C$19),700))-1)*0.000001</f>
        <v>50.3003418187398</v>
      </c>
    </row>
    <row r="126" customFormat="false" ht="12.75" hidden="false" customHeight="true" outlineLevel="0" collapsed="false">
      <c r="B126" s="26" t="n">
        <v>116</v>
      </c>
      <c r="C126" s="27" t="n">
        <f aca="false">'IR Calculator'!C14+(116-0.5)*('IR Calculator'!C15-'IR Calculator'!C14)/MIN('IR Calculator'!C16,500)</f>
        <v>8.462</v>
      </c>
      <c r="D126" s="28" t="n">
        <f aca="false">('IR Calculator'!C15-'IR Calculator'!C14)/MIN('IR Calculator'!C16,500)</f>
        <v>0.004</v>
      </c>
      <c r="E126" s="29" t="n">
        <f aca="false">(2*'IR Calculator'!$C$5*'IR Calculator'!$C$6^2/((('IR Calculator'!C14+(116-0.5)*('IR Calculator'!C15-'IR Calculator'!C14)/MIN('IR Calculator'!C16,500))*0.000001)^5))/(EXP(MIN('IR Calculator'!$C$5*'IR Calculator'!$C$6/((('IR Calculator'!C14+(116-0.5)*('IR Calculator'!C15-'IR Calculator'!C14)/MIN('IR Calculator'!C16,500))*0.000001)*'IR Calculator'!$C$7*'IR Calculator'!$C$19),700))-1)*0.000001</f>
        <v>50.2787670227824</v>
      </c>
    </row>
    <row r="127" customFormat="false" ht="12.75" hidden="false" customHeight="true" outlineLevel="0" collapsed="false">
      <c r="B127" s="22" t="n">
        <v>117</v>
      </c>
      <c r="C127" s="23" t="n">
        <f aca="false">'IR Calculator'!C14+(117-0.5)*('IR Calculator'!C15-'IR Calculator'!C14)/MIN('IR Calculator'!C16,500)</f>
        <v>8.466</v>
      </c>
      <c r="D127" s="24" t="n">
        <f aca="false">('IR Calculator'!C15-'IR Calculator'!C14)/MIN('IR Calculator'!C16,500)</f>
        <v>0.004</v>
      </c>
      <c r="E127" s="25" t="n">
        <f aca="false">(2*'IR Calculator'!$C$5*'IR Calculator'!$C$6^2/((('IR Calculator'!C14+(117-0.5)*('IR Calculator'!C15-'IR Calculator'!C14)/MIN('IR Calculator'!C16,500))*0.000001)^5))/(EXP(MIN('IR Calculator'!$C$5*'IR Calculator'!$C$6/((('IR Calculator'!C14+(117-0.5)*('IR Calculator'!C15-'IR Calculator'!C14)/MIN('IR Calculator'!C16,500))*0.000001)*'IR Calculator'!$C$7*'IR Calculator'!$C$19),700))-1)*0.000001</f>
        <v>50.2571691123634</v>
      </c>
    </row>
    <row r="128" customFormat="false" ht="12.75" hidden="false" customHeight="true" outlineLevel="0" collapsed="false">
      <c r="B128" s="26" t="n">
        <v>118</v>
      </c>
      <c r="C128" s="27" t="n">
        <f aca="false">'IR Calculator'!C14+(118-0.5)*('IR Calculator'!C15-'IR Calculator'!C14)/MIN('IR Calculator'!C16,500)</f>
        <v>8.47</v>
      </c>
      <c r="D128" s="28" t="n">
        <f aca="false">('IR Calculator'!C15-'IR Calculator'!C14)/MIN('IR Calculator'!C16,500)</f>
        <v>0.004</v>
      </c>
      <c r="E128" s="29" t="n">
        <f aca="false">(2*'IR Calculator'!$C$5*'IR Calculator'!$C$6^2/((('IR Calculator'!C14+(118-0.5)*('IR Calculator'!C15-'IR Calculator'!C14)/MIN('IR Calculator'!C16,500))*0.000001)^5))/(EXP(MIN('IR Calculator'!$C$5*'IR Calculator'!$C$6/((('IR Calculator'!C14+(118-0.5)*('IR Calculator'!C15-'IR Calculator'!C14)/MIN('IR Calculator'!C16,500))*0.000001)*'IR Calculator'!$C$7*'IR Calculator'!$C$19),700))-1)*0.000001</f>
        <v>50.2355481994168</v>
      </c>
    </row>
    <row r="129" customFormat="false" ht="12.75" hidden="false" customHeight="true" outlineLevel="0" collapsed="false">
      <c r="B129" s="22" t="n">
        <v>119</v>
      </c>
      <c r="C129" s="23" t="n">
        <f aca="false">'IR Calculator'!C14+(119-0.5)*('IR Calculator'!C15-'IR Calculator'!C14)/MIN('IR Calculator'!C16,500)</f>
        <v>8.474</v>
      </c>
      <c r="D129" s="24" t="n">
        <f aca="false">('IR Calculator'!C15-'IR Calculator'!C14)/MIN('IR Calculator'!C16,500)</f>
        <v>0.004</v>
      </c>
      <c r="E129" s="25" t="n">
        <f aca="false">(2*'IR Calculator'!$C$5*'IR Calculator'!$C$6^2/((('IR Calculator'!C14+(119-0.5)*('IR Calculator'!C15-'IR Calculator'!C14)/MIN('IR Calculator'!C16,500))*0.000001)^5))/(EXP(MIN('IR Calculator'!$C$5*'IR Calculator'!$C$6/((('IR Calculator'!C14+(119-0.5)*('IR Calculator'!C15-'IR Calculator'!C14)/MIN('IR Calculator'!C16,500))*0.000001)*'IR Calculator'!$C$7*'IR Calculator'!$C$19),700))-1)*0.000001</f>
        <v>50.2139043956091</v>
      </c>
    </row>
    <row r="130" customFormat="false" ht="12.75" hidden="false" customHeight="true" outlineLevel="0" collapsed="false">
      <c r="B130" s="26" t="n">
        <v>120</v>
      </c>
      <c r="C130" s="27" t="n">
        <f aca="false">'IR Calculator'!C14+(120-0.5)*('IR Calculator'!C15-'IR Calculator'!C14)/MIN('IR Calculator'!C16,500)</f>
        <v>8.478</v>
      </c>
      <c r="D130" s="28" t="n">
        <f aca="false">('IR Calculator'!C15-'IR Calculator'!C14)/MIN('IR Calculator'!C16,500)</f>
        <v>0.004</v>
      </c>
      <c r="E130" s="29" t="n">
        <f aca="false">(2*'IR Calculator'!$C$5*'IR Calculator'!$C$6^2/((('IR Calculator'!C14+(120-0.5)*('IR Calculator'!C15-'IR Calculator'!C14)/MIN('IR Calculator'!C16,500))*0.000001)^5))/(EXP(MIN('IR Calculator'!$C$5*'IR Calculator'!$C$6/((('IR Calculator'!C14+(120-0.5)*('IR Calculator'!C15-'IR Calculator'!C14)/MIN('IR Calculator'!C16,500))*0.000001)*'IR Calculator'!$C$7*'IR Calculator'!$C$19),700))-1)*0.000001</f>
        <v>50.1922378123404</v>
      </c>
    </row>
    <row r="131" customFormat="false" ht="12.75" hidden="false" customHeight="true" outlineLevel="0" collapsed="false">
      <c r="B131" s="22" t="n">
        <v>121</v>
      </c>
      <c r="C131" s="23" t="n">
        <f aca="false">'IR Calculator'!C14+(121-0.5)*('IR Calculator'!C15-'IR Calculator'!C14)/MIN('IR Calculator'!C16,500)</f>
        <v>8.482</v>
      </c>
      <c r="D131" s="24" t="n">
        <f aca="false">('IR Calculator'!C15-'IR Calculator'!C14)/MIN('IR Calculator'!C16,500)</f>
        <v>0.004</v>
      </c>
      <c r="E131" s="25" t="n">
        <f aca="false">(2*'IR Calculator'!$C$5*'IR Calculator'!$C$6^2/((('IR Calculator'!C14+(121-0.5)*('IR Calculator'!C15-'IR Calculator'!C14)/MIN('IR Calculator'!C16,500))*0.000001)^5))/(EXP(MIN('IR Calculator'!$C$5*'IR Calculator'!$C$6/((('IR Calculator'!C14+(121-0.5)*('IR Calculator'!C15-'IR Calculator'!C14)/MIN('IR Calculator'!C16,500))*0.000001)*'IR Calculator'!$C$7*'IR Calculator'!$C$19),700))-1)*0.000001</f>
        <v>50.1705485607444</v>
      </c>
    </row>
    <row r="132" customFormat="false" ht="12.75" hidden="false" customHeight="true" outlineLevel="0" collapsed="false">
      <c r="B132" s="26" t="n">
        <v>122</v>
      </c>
      <c r="C132" s="27" t="n">
        <f aca="false">'IR Calculator'!C14+(122-0.5)*('IR Calculator'!C15-'IR Calculator'!C14)/MIN('IR Calculator'!C16,500)</f>
        <v>8.486</v>
      </c>
      <c r="D132" s="28" t="n">
        <f aca="false">('IR Calculator'!C15-'IR Calculator'!C14)/MIN('IR Calculator'!C16,500)</f>
        <v>0.004</v>
      </c>
      <c r="E132" s="29" t="n">
        <f aca="false">(2*'IR Calculator'!$C$5*'IR Calculator'!$C$6^2/((('IR Calculator'!C14+(122-0.5)*('IR Calculator'!C15-'IR Calculator'!C14)/MIN('IR Calculator'!C16,500))*0.000001)^5))/(EXP(MIN('IR Calculator'!$C$5*'IR Calculator'!$C$6/((('IR Calculator'!C14+(122-0.5)*('IR Calculator'!C15-'IR Calculator'!C14)/MIN('IR Calculator'!C16,500))*0.000001)*'IR Calculator'!$C$7*'IR Calculator'!$C$19),700))-1)*0.000001</f>
        <v>50.1488367516887</v>
      </c>
    </row>
    <row r="133" customFormat="false" ht="12.75" hidden="false" customHeight="true" outlineLevel="0" collapsed="false">
      <c r="B133" s="22" t="n">
        <v>123</v>
      </c>
      <c r="C133" s="23" t="n">
        <f aca="false">'IR Calculator'!C14+(123-0.5)*('IR Calculator'!C15-'IR Calculator'!C14)/MIN('IR Calculator'!C16,500)</f>
        <v>8.49</v>
      </c>
      <c r="D133" s="24" t="n">
        <f aca="false">('IR Calculator'!C15-'IR Calculator'!C14)/MIN('IR Calculator'!C16,500)</f>
        <v>0.004</v>
      </c>
      <c r="E133" s="25" t="n">
        <f aca="false">(2*'IR Calculator'!$C$5*'IR Calculator'!$C$6^2/((('IR Calculator'!C14+(123-0.5)*('IR Calculator'!C15-'IR Calculator'!C14)/MIN('IR Calculator'!C16,500))*0.000001)^5))/(EXP(MIN('IR Calculator'!$C$5*'IR Calculator'!$C$6/((('IR Calculator'!C14+(123-0.5)*('IR Calculator'!C15-'IR Calculator'!C14)/MIN('IR Calculator'!C16,500))*0.000001)*'IR Calculator'!$C$7*'IR Calculator'!$C$19),700))-1)*0.000001</f>
        <v>50.127102495775</v>
      </c>
    </row>
    <row r="134" customFormat="false" ht="12.75" hidden="false" customHeight="true" outlineLevel="0" collapsed="false">
      <c r="B134" s="26" t="n">
        <v>124</v>
      </c>
      <c r="C134" s="27" t="n">
        <f aca="false">'IR Calculator'!C14+(124-0.5)*('IR Calculator'!C15-'IR Calculator'!C14)/MIN('IR Calculator'!C16,500)</f>
        <v>8.494</v>
      </c>
      <c r="D134" s="28" t="n">
        <f aca="false">('IR Calculator'!C15-'IR Calculator'!C14)/MIN('IR Calculator'!C16,500)</f>
        <v>0.004</v>
      </c>
      <c r="E134" s="29" t="n">
        <f aca="false">(2*'IR Calculator'!$C$5*'IR Calculator'!$C$6^2/((('IR Calculator'!C14+(124-0.5)*('IR Calculator'!C15-'IR Calculator'!C14)/MIN('IR Calculator'!C16,500))*0.000001)^5))/(EXP(MIN('IR Calculator'!$C$5*'IR Calculator'!$C$6/((('IR Calculator'!C14+(124-0.5)*('IR Calculator'!C15-'IR Calculator'!C14)/MIN('IR Calculator'!C16,500))*0.000001)*'IR Calculator'!$C$7*'IR Calculator'!$C$19),700))-1)*0.000001</f>
        <v>50.1053459033402</v>
      </c>
    </row>
    <row r="135" customFormat="false" ht="12.75" hidden="false" customHeight="true" outlineLevel="0" collapsed="false">
      <c r="B135" s="22" t="n">
        <v>125</v>
      </c>
      <c r="C135" s="23" t="n">
        <f aca="false">'IR Calculator'!C14+(125-0.5)*('IR Calculator'!C15-'IR Calculator'!C14)/MIN('IR Calculator'!C16,500)</f>
        <v>8.498</v>
      </c>
      <c r="D135" s="24" t="n">
        <f aca="false">('IR Calculator'!C15-'IR Calculator'!C14)/MIN('IR Calculator'!C16,500)</f>
        <v>0.004</v>
      </c>
      <c r="E135" s="25" t="n">
        <f aca="false">(2*'IR Calculator'!$C$5*'IR Calculator'!$C$6^2/((('IR Calculator'!C14+(125-0.5)*('IR Calculator'!C15-'IR Calculator'!C14)/MIN('IR Calculator'!C16,500))*0.000001)^5))/(EXP(MIN('IR Calculator'!$C$5*'IR Calculator'!$C$6/((('IR Calculator'!C14+(125-0.5)*('IR Calculator'!C15-'IR Calculator'!C14)/MIN('IR Calculator'!C16,500))*0.000001)*'IR Calculator'!$C$7*'IR Calculator'!$C$19),700))-1)*0.000001</f>
        <v>50.0835670844558</v>
      </c>
    </row>
    <row r="136" customFormat="false" ht="12.75" hidden="false" customHeight="true" outlineLevel="0" collapsed="false">
      <c r="B136" s="26" t="n">
        <v>126</v>
      </c>
      <c r="C136" s="27" t="n">
        <f aca="false">'IR Calculator'!C14+(126-0.5)*('IR Calculator'!C15-'IR Calculator'!C14)/MIN('IR Calculator'!C16,500)</f>
        <v>8.502</v>
      </c>
      <c r="D136" s="28" t="n">
        <f aca="false">('IR Calculator'!C15-'IR Calculator'!C14)/MIN('IR Calculator'!C16,500)</f>
        <v>0.004</v>
      </c>
      <c r="E136" s="29" t="n">
        <f aca="false">(2*'IR Calculator'!$C$5*'IR Calculator'!$C$6^2/((('IR Calculator'!C14+(126-0.5)*('IR Calculator'!C15-'IR Calculator'!C14)/MIN('IR Calculator'!C16,500))*0.000001)^5))/(EXP(MIN('IR Calculator'!$C$5*'IR Calculator'!$C$6/((('IR Calculator'!C14+(126-0.5)*('IR Calculator'!C15-'IR Calculator'!C14)/MIN('IR Calculator'!C16,500))*0.000001)*'IR Calculator'!$C$7*'IR Calculator'!$C$19),700))-1)*0.000001</f>
        <v>50.0617661489288</v>
      </c>
    </row>
    <row r="137" customFormat="false" ht="12.75" hidden="false" customHeight="true" outlineLevel="0" collapsed="false">
      <c r="B137" s="22" t="n">
        <v>127</v>
      </c>
      <c r="C137" s="23" t="n">
        <f aca="false">'IR Calculator'!C14+(127-0.5)*('IR Calculator'!C15-'IR Calculator'!C14)/MIN('IR Calculator'!C16,500)</f>
        <v>8.506</v>
      </c>
      <c r="D137" s="24" t="n">
        <f aca="false">('IR Calculator'!C15-'IR Calculator'!C14)/MIN('IR Calculator'!C16,500)</f>
        <v>0.004</v>
      </c>
      <c r="E137" s="25" t="n">
        <f aca="false">(2*'IR Calculator'!$C$5*'IR Calculator'!$C$6^2/((('IR Calculator'!C14+(127-0.5)*('IR Calculator'!C15-'IR Calculator'!C14)/MIN('IR Calculator'!C16,500))*0.000001)^5))/(EXP(MIN('IR Calculator'!$C$5*'IR Calculator'!$C$6/((('IR Calculator'!C14+(127-0.5)*('IR Calculator'!C15-'IR Calculator'!C14)/MIN('IR Calculator'!C16,500))*0.000001)*'IR Calculator'!$C$7*'IR Calculator'!$C$19),700))-1)*0.000001</f>
        <v>50.0399432063018</v>
      </c>
    </row>
    <row r="138" customFormat="false" ht="12.75" hidden="false" customHeight="true" outlineLevel="0" collapsed="false">
      <c r="B138" s="26" t="n">
        <v>128</v>
      </c>
      <c r="C138" s="27" t="n">
        <f aca="false">'IR Calculator'!C14+(128-0.5)*('IR Calculator'!C15-'IR Calculator'!C14)/MIN('IR Calculator'!C16,500)</f>
        <v>8.51</v>
      </c>
      <c r="D138" s="28" t="n">
        <f aca="false">('IR Calculator'!C15-'IR Calculator'!C14)/MIN('IR Calculator'!C16,500)</f>
        <v>0.004</v>
      </c>
      <c r="E138" s="29" t="n">
        <f aca="false">(2*'IR Calculator'!$C$5*'IR Calculator'!$C$6^2/((('IR Calculator'!C14+(128-0.5)*('IR Calculator'!C15-'IR Calculator'!C14)/MIN('IR Calculator'!C16,500))*0.000001)^5))/(EXP(MIN('IR Calculator'!$C$5*'IR Calculator'!$C$6/((('IR Calculator'!C14+(128-0.5)*('IR Calculator'!C15-'IR Calculator'!C14)/MIN('IR Calculator'!C16,500))*0.000001)*'IR Calculator'!$C$7*'IR Calculator'!$C$19),700))-1)*0.000001</f>
        <v>50.0180983658538</v>
      </c>
    </row>
    <row r="139" customFormat="false" ht="12.75" hidden="false" customHeight="true" outlineLevel="0" collapsed="false">
      <c r="B139" s="22" t="n">
        <v>129</v>
      </c>
      <c r="C139" s="23" t="n">
        <f aca="false">'IR Calculator'!C14+(129-0.5)*('IR Calculator'!C15-'IR Calculator'!C14)/MIN('IR Calculator'!C16,500)</f>
        <v>8.514</v>
      </c>
      <c r="D139" s="24" t="n">
        <f aca="false">('IR Calculator'!C15-'IR Calculator'!C14)/MIN('IR Calculator'!C16,500)</f>
        <v>0.004</v>
      </c>
      <c r="E139" s="25" t="n">
        <f aca="false">(2*'IR Calculator'!$C$5*'IR Calculator'!$C$6^2/((('IR Calculator'!C14+(129-0.5)*('IR Calculator'!C15-'IR Calculator'!C14)/MIN('IR Calculator'!C16,500))*0.000001)^5))/(EXP(MIN('IR Calculator'!$C$5*'IR Calculator'!$C$6/((('IR Calculator'!C14+(129-0.5)*('IR Calculator'!C15-'IR Calculator'!C14)/MIN('IR Calculator'!C16,500))*0.000001)*'IR Calculator'!$C$7*'IR Calculator'!$C$19),700))-1)*0.000001</f>
        <v>49.9962317365998</v>
      </c>
    </row>
    <row r="140" customFormat="false" ht="12.75" hidden="false" customHeight="true" outlineLevel="0" collapsed="false">
      <c r="B140" s="26" t="n">
        <v>130</v>
      </c>
      <c r="C140" s="27" t="n">
        <f aca="false">'IR Calculator'!C14+(130-0.5)*('IR Calculator'!C15-'IR Calculator'!C14)/MIN('IR Calculator'!C16,500)</f>
        <v>8.518</v>
      </c>
      <c r="D140" s="28" t="n">
        <f aca="false">('IR Calculator'!C15-'IR Calculator'!C14)/MIN('IR Calculator'!C16,500)</f>
        <v>0.004</v>
      </c>
      <c r="E140" s="29" t="n">
        <f aca="false">(2*'IR Calculator'!$C$5*'IR Calculator'!$C$6^2/((('IR Calculator'!C14+(130-0.5)*('IR Calculator'!C15-'IR Calculator'!C14)/MIN('IR Calculator'!C16,500))*0.000001)^5))/(EXP(MIN('IR Calculator'!$C$5*'IR Calculator'!$C$6/((('IR Calculator'!C14+(130-0.5)*('IR Calculator'!C15-'IR Calculator'!C14)/MIN('IR Calculator'!C16,500))*0.000001)*'IR Calculator'!$C$7*'IR Calculator'!$C$19),700))-1)*0.000001</f>
        <v>49.974343427292</v>
      </c>
    </row>
    <row r="141" customFormat="false" ht="12.75" hidden="false" customHeight="true" outlineLevel="0" collapsed="false">
      <c r="B141" s="22" t="n">
        <v>131</v>
      </c>
      <c r="C141" s="23" t="n">
        <f aca="false">'IR Calculator'!C14+(131-0.5)*('IR Calculator'!C15-'IR Calculator'!C14)/MIN('IR Calculator'!C16,500)</f>
        <v>8.522</v>
      </c>
      <c r="D141" s="24" t="n">
        <f aca="false">('IR Calculator'!C15-'IR Calculator'!C14)/MIN('IR Calculator'!C16,500)</f>
        <v>0.004</v>
      </c>
      <c r="E141" s="25" t="n">
        <f aca="false">(2*'IR Calculator'!$C$5*'IR Calculator'!$C$6^2/((('IR Calculator'!C14+(131-0.5)*('IR Calculator'!C15-'IR Calculator'!C14)/MIN('IR Calculator'!C16,500))*0.000001)^5))/(EXP(MIN('IR Calculator'!$C$5*'IR Calculator'!$C$6/((('IR Calculator'!C14+(131-0.5)*('IR Calculator'!C15-'IR Calculator'!C14)/MIN('IR Calculator'!C16,500))*0.000001)*'IR Calculator'!$C$7*'IR Calculator'!$C$19),700))-1)*0.000001</f>
        <v>49.9524335464194</v>
      </c>
    </row>
    <row r="142" customFormat="false" ht="12.75" hidden="false" customHeight="true" outlineLevel="0" collapsed="false">
      <c r="B142" s="26" t="n">
        <v>132</v>
      </c>
      <c r="C142" s="27" t="n">
        <f aca="false">'IR Calculator'!C14+(132-0.5)*('IR Calculator'!C15-'IR Calculator'!C14)/MIN('IR Calculator'!C16,500)</f>
        <v>8.526</v>
      </c>
      <c r="D142" s="28" t="n">
        <f aca="false">('IR Calculator'!C15-'IR Calculator'!C14)/MIN('IR Calculator'!C16,500)</f>
        <v>0.004</v>
      </c>
      <c r="E142" s="29" t="n">
        <f aca="false">(2*'IR Calculator'!$C$5*'IR Calculator'!$C$6^2/((('IR Calculator'!C14+(132-0.5)*('IR Calculator'!C15-'IR Calculator'!C14)/MIN('IR Calculator'!C16,500))*0.000001)^5))/(EXP(MIN('IR Calculator'!$C$5*'IR Calculator'!$C$6/((('IR Calculator'!C14+(132-0.5)*('IR Calculator'!C15-'IR Calculator'!C14)/MIN('IR Calculator'!C16,500))*0.000001)*'IR Calculator'!$C$7*'IR Calculator'!$C$19),700))-1)*0.000001</f>
        <v>49.9305022022085</v>
      </c>
    </row>
    <row r="143" customFormat="false" ht="12.75" hidden="false" customHeight="true" outlineLevel="0" collapsed="false">
      <c r="B143" s="22" t="n">
        <v>133</v>
      </c>
      <c r="C143" s="23" t="n">
        <f aca="false">'IR Calculator'!C14+(133-0.5)*('IR Calculator'!C15-'IR Calculator'!C14)/MIN('IR Calculator'!C16,500)</f>
        <v>8.53</v>
      </c>
      <c r="D143" s="24" t="n">
        <f aca="false">('IR Calculator'!C15-'IR Calculator'!C14)/MIN('IR Calculator'!C16,500)</f>
        <v>0.004</v>
      </c>
      <c r="E143" s="25" t="n">
        <f aca="false">(2*'IR Calculator'!$C$5*'IR Calculator'!$C$6^2/((('IR Calculator'!C14+(133-0.5)*('IR Calculator'!C15-'IR Calculator'!C14)/MIN('IR Calculator'!C16,500))*0.000001)^5))/(EXP(MIN('IR Calculator'!$C$5*'IR Calculator'!$C$6/((('IR Calculator'!C14+(133-0.5)*('IR Calculator'!C15-'IR Calculator'!C14)/MIN('IR Calculator'!C16,500))*0.000001)*'IR Calculator'!$C$7*'IR Calculator'!$C$19),700))-1)*0.000001</f>
        <v>49.9085495026241</v>
      </c>
    </row>
    <row r="144" customFormat="false" ht="12.75" hidden="false" customHeight="true" outlineLevel="0" collapsed="false">
      <c r="B144" s="26" t="n">
        <v>134</v>
      </c>
      <c r="C144" s="27" t="n">
        <f aca="false">'IR Calculator'!C14+(134-0.5)*('IR Calculator'!C15-'IR Calculator'!C14)/MIN('IR Calculator'!C16,500)</f>
        <v>8.534</v>
      </c>
      <c r="D144" s="28" t="n">
        <f aca="false">('IR Calculator'!C15-'IR Calculator'!C14)/MIN('IR Calculator'!C16,500)</f>
        <v>0.004</v>
      </c>
      <c r="E144" s="29" t="n">
        <f aca="false">(2*'IR Calculator'!$C$5*'IR Calculator'!$C$6^2/((('IR Calculator'!C14+(134-0.5)*('IR Calculator'!C15-'IR Calculator'!C14)/MIN('IR Calculator'!C16,500))*0.000001)^5))/(EXP(MIN('IR Calculator'!$C$5*'IR Calculator'!$C$6/((('IR Calculator'!C14+(134-0.5)*('IR Calculator'!C15-'IR Calculator'!C14)/MIN('IR Calculator'!C16,500))*0.000001)*'IR Calculator'!$C$7*'IR Calculator'!$C$19),700))-1)*0.000001</f>
        <v>49.8865755553686</v>
      </c>
    </row>
    <row r="145" customFormat="false" ht="12.75" hidden="false" customHeight="true" outlineLevel="0" collapsed="false">
      <c r="B145" s="22" t="n">
        <v>135</v>
      </c>
      <c r="C145" s="23" t="n">
        <f aca="false">'IR Calculator'!C14+(135-0.5)*('IR Calculator'!C15-'IR Calculator'!C14)/MIN('IR Calculator'!C16,500)</f>
        <v>8.538</v>
      </c>
      <c r="D145" s="24" t="n">
        <f aca="false">('IR Calculator'!C15-'IR Calculator'!C14)/MIN('IR Calculator'!C16,500)</f>
        <v>0.004</v>
      </c>
      <c r="E145" s="25" t="n">
        <f aca="false">(2*'IR Calculator'!$C$5*'IR Calculator'!$C$6^2/((('IR Calculator'!C14+(135-0.5)*('IR Calculator'!C15-'IR Calculator'!C14)/MIN('IR Calculator'!C16,500))*0.000001)^5))/(EXP(MIN('IR Calculator'!$C$5*'IR Calculator'!$C$6/((('IR Calculator'!C14+(135-0.5)*('IR Calculator'!C15-'IR Calculator'!C14)/MIN('IR Calculator'!C16,500))*0.000001)*'IR Calculator'!$C$7*'IR Calculator'!$C$19),700))-1)*0.000001</f>
        <v>49.8645804678834</v>
      </c>
    </row>
    <row r="146" customFormat="false" ht="12.75" hidden="false" customHeight="true" outlineLevel="0" collapsed="false">
      <c r="B146" s="26" t="n">
        <v>136</v>
      </c>
      <c r="C146" s="27" t="n">
        <f aca="false">'IR Calculator'!C14+(136-0.5)*('IR Calculator'!C15-'IR Calculator'!C14)/MIN('IR Calculator'!C16,500)</f>
        <v>8.542</v>
      </c>
      <c r="D146" s="28" t="n">
        <f aca="false">('IR Calculator'!C15-'IR Calculator'!C14)/MIN('IR Calculator'!C16,500)</f>
        <v>0.004</v>
      </c>
      <c r="E146" s="29" t="n">
        <f aca="false">(2*'IR Calculator'!$C$5*'IR Calculator'!$C$6^2/((('IR Calculator'!C14+(136-0.5)*('IR Calculator'!C15-'IR Calculator'!C14)/MIN('IR Calculator'!C16,500))*0.000001)^5))/(EXP(MIN('IR Calculator'!$C$5*'IR Calculator'!$C$6/((('IR Calculator'!C14+(136-0.5)*('IR Calculator'!C15-'IR Calculator'!C14)/MIN('IR Calculator'!C16,500))*0.000001)*'IR Calculator'!$C$7*'IR Calculator'!$C$19),700))-1)*0.000001</f>
        <v>49.8425643473486</v>
      </c>
    </row>
    <row r="147" customFormat="false" ht="12.75" hidden="false" customHeight="true" outlineLevel="0" collapsed="false">
      <c r="B147" s="22" t="n">
        <v>137</v>
      </c>
      <c r="C147" s="23" t="n">
        <f aca="false">'IR Calculator'!C14+(137-0.5)*('IR Calculator'!C15-'IR Calculator'!C14)/MIN('IR Calculator'!C16,500)</f>
        <v>8.546</v>
      </c>
      <c r="D147" s="24" t="n">
        <f aca="false">('IR Calculator'!C15-'IR Calculator'!C14)/MIN('IR Calculator'!C16,500)</f>
        <v>0.004</v>
      </c>
      <c r="E147" s="25" t="n">
        <f aca="false">(2*'IR Calculator'!$C$5*'IR Calculator'!$C$6^2/((('IR Calculator'!C14+(137-0.5)*('IR Calculator'!C15-'IR Calculator'!C14)/MIN('IR Calculator'!C16,500))*0.000001)^5))/(EXP(MIN('IR Calculator'!$C$5*'IR Calculator'!$C$6/((('IR Calculator'!C14+(137-0.5)*('IR Calculator'!C15-'IR Calculator'!C14)/MIN('IR Calculator'!C16,500))*0.000001)*'IR Calculator'!$C$7*'IR Calculator'!$C$19),700))-1)*0.000001</f>
        <v>49.8205273006836</v>
      </c>
    </row>
    <row r="148" customFormat="false" ht="12.75" hidden="false" customHeight="true" outlineLevel="0" collapsed="false">
      <c r="B148" s="26" t="n">
        <v>138</v>
      </c>
      <c r="C148" s="27" t="n">
        <f aca="false">'IR Calculator'!C14+(138-0.5)*('IR Calculator'!C15-'IR Calculator'!C14)/MIN('IR Calculator'!C16,500)</f>
        <v>8.55</v>
      </c>
      <c r="D148" s="28" t="n">
        <f aca="false">('IR Calculator'!C15-'IR Calculator'!C14)/MIN('IR Calculator'!C16,500)</f>
        <v>0.004</v>
      </c>
      <c r="E148" s="29" t="n">
        <f aca="false">(2*'IR Calculator'!$C$5*'IR Calculator'!$C$6^2/((('IR Calculator'!C14+(138-0.5)*('IR Calculator'!C15-'IR Calculator'!C14)/MIN('IR Calculator'!C16,500))*0.000001)^5))/(EXP(MIN('IR Calculator'!$C$5*'IR Calculator'!$C$6/((('IR Calculator'!C14+(138-0.5)*('IR Calculator'!C15-'IR Calculator'!C14)/MIN('IR Calculator'!C16,500))*0.000001)*'IR Calculator'!$C$7*'IR Calculator'!$C$19),700))-1)*0.000001</f>
        <v>49.7984694345476</v>
      </c>
    </row>
    <row r="149" customFormat="false" ht="12.75" hidden="false" customHeight="true" outlineLevel="0" collapsed="false">
      <c r="B149" s="22" t="n">
        <v>139</v>
      </c>
      <c r="C149" s="23" t="n">
        <f aca="false">'IR Calculator'!C14+(139-0.5)*('IR Calculator'!C15-'IR Calculator'!C14)/MIN('IR Calculator'!C16,500)</f>
        <v>8.554</v>
      </c>
      <c r="D149" s="24" t="n">
        <f aca="false">('IR Calculator'!C15-'IR Calculator'!C14)/MIN('IR Calculator'!C16,500)</f>
        <v>0.004</v>
      </c>
      <c r="E149" s="25" t="n">
        <f aca="false">(2*'IR Calculator'!$C$5*'IR Calculator'!$C$6^2/((('IR Calculator'!C14+(139-0.5)*('IR Calculator'!C15-'IR Calculator'!C14)/MIN('IR Calculator'!C16,500))*0.000001)^5))/(EXP(MIN('IR Calculator'!$C$5*'IR Calculator'!$C$6/((('IR Calculator'!C14+(139-0.5)*('IR Calculator'!C15-'IR Calculator'!C14)/MIN('IR Calculator'!C16,500))*0.000001)*'IR Calculator'!$C$7*'IR Calculator'!$C$19),700))-1)*0.000001</f>
        <v>49.7763908553396</v>
      </c>
    </row>
    <row r="150" customFormat="false" ht="12.75" hidden="false" customHeight="true" outlineLevel="0" collapsed="false">
      <c r="B150" s="26" t="n">
        <v>140</v>
      </c>
      <c r="C150" s="27" t="n">
        <f aca="false">'IR Calculator'!C14+(140-0.5)*('IR Calculator'!C15-'IR Calculator'!C14)/MIN('IR Calculator'!C16,500)</f>
        <v>8.558</v>
      </c>
      <c r="D150" s="28" t="n">
        <f aca="false">('IR Calculator'!C15-'IR Calculator'!C14)/MIN('IR Calculator'!C16,500)</f>
        <v>0.004</v>
      </c>
      <c r="E150" s="29" t="n">
        <f aca="false">(2*'IR Calculator'!$C$5*'IR Calculator'!$C$6^2/((('IR Calculator'!C14+(140-0.5)*('IR Calculator'!C15-'IR Calculator'!C14)/MIN('IR Calculator'!C16,500))*0.000001)^5))/(EXP(MIN('IR Calculator'!$C$5*'IR Calculator'!$C$6/((('IR Calculator'!C14+(140-0.5)*('IR Calculator'!C15-'IR Calculator'!C14)/MIN('IR Calculator'!C16,500))*0.000001)*'IR Calculator'!$C$7*'IR Calculator'!$C$19),700))-1)*0.000001</f>
        <v>49.7542916691991</v>
      </c>
    </row>
    <row r="151" customFormat="false" ht="12.75" hidden="false" customHeight="true" outlineLevel="0" collapsed="false">
      <c r="B151" s="22" t="n">
        <v>141</v>
      </c>
      <c r="C151" s="23" t="n">
        <f aca="false">'IR Calculator'!C14+(141-0.5)*('IR Calculator'!C15-'IR Calculator'!C14)/MIN('IR Calculator'!C16,500)</f>
        <v>8.562</v>
      </c>
      <c r="D151" s="24" t="n">
        <f aca="false">('IR Calculator'!C15-'IR Calculator'!C14)/MIN('IR Calculator'!C16,500)</f>
        <v>0.004</v>
      </c>
      <c r="E151" s="25" t="n">
        <f aca="false">(2*'IR Calculator'!$C$5*'IR Calculator'!$C$6^2/((('IR Calculator'!C14+(141-0.5)*('IR Calculator'!C15-'IR Calculator'!C14)/MIN('IR Calculator'!C16,500))*0.000001)^5))/(EXP(MIN('IR Calculator'!$C$5*'IR Calculator'!$C$6/((('IR Calculator'!C14+(141-0.5)*('IR Calculator'!C15-'IR Calculator'!C14)/MIN('IR Calculator'!C16,500))*0.000001)*'IR Calculator'!$C$7*'IR Calculator'!$C$19),700))-1)*0.000001</f>
        <v>49.7321719820062</v>
      </c>
    </row>
    <row r="152" customFormat="false" ht="12.75" hidden="false" customHeight="true" outlineLevel="0" collapsed="false">
      <c r="B152" s="26" t="n">
        <v>142</v>
      </c>
      <c r="C152" s="27" t="n">
        <f aca="false">'IR Calculator'!C14+(142-0.5)*('IR Calculator'!C15-'IR Calculator'!C14)/MIN('IR Calculator'!C16,500)</f>
        <v>8.566</v>
      </c>
      <c r="D152" s="28" t="n">
        <f aca="false">('IR Calculator'!C15-'IR Calculator'!C14)/MIN('IR Calculator'!C16,500)</f>
        <v>0.004</v>
      </c>
      <c r="E152" s="29" t="n">
        <f aca="false">(2*'IR Calculator'!$C$5*'IR Calculator'!$C$6^2/((('IR Calculator'!C14+(142-0.5)*('IR Calculator'!C15-'IR Calculator'!C14)/MIN('IR Calculator'!C16,500))*0.000001)^5))/(EXP(MIN('IR Calculator'!$C$5*'IR Calculator'!$C$6/((('IR Calculator'!C14+(142-0.5)*('IR Calculator'!C15-'IR Calculator'!C14)/MIN('IR Calculator'!C16,500))*0.000001)*'IR Calculator'!$C$7*'IR Calculator'!$C$19),700))-1)*0.000001</f>
        <v>49.7100318993824</v>
      </c>
    </row>
    <row r="153" customFormat="false" ht="12.75" hidden="false" customHeight="true" outlineLevel="0" collapsed="false">
      <c r="B153" s="22" t="n">
        <v>143</v>
      </c>
      <c r="C153" s="23" t="n">
        <f aca="false">'IR Calculator'!C14+(143-0.5)*('IR Calculator'!C15-'IR Calculator'!C14)/MIN('IR Calculator'!C16,500)</f>
        <v>8.57</v>
      </c>
      <c r="D153" s="24" t="n">
        <f aca="false">('IR Calculator'!C15-'IR Calculator'!C14)/MIN('IR Calculator'!C16,500)</f>
        <v>0.004</v>
      </c>
      <c r="E153" s="25" t="n">
        <f aca="false">(2*'IR Calculator'!$C$5*'IR Calculator'!$C$6^2/((('IR Calculator'!C14+(143-0.5)*('IR Calculator'!C15-'IR Calculator'!C14)/MIN('IR Calculator'!C16,500))*0.000001)^5))/(EXP(MIN('IR Calculator'!$C$5*'IR Calculator'!$C$6/((('IR Calculator'!C14+(143-0.5)*('IR Calculator'!C15-'IR Calculator'!C14)/MIN('IR Calculator'!C16,500))*0.000001)*'IR Calculator'!$C$7*'IR Calculator'!$C$19),700))-1)*0.000001</f>
        <v>49.6878715266902</v>
      </c>
    </row>
    <row r="154" customFormat="false" ht="12.75" hidden="false" customHeight="true" outlineLevel="0" collapsed="false">
      <c r="B154" s="26" t="n">
        <v>144</v>
      </c>
      <c r="C154" s="27" t="n">
        <f aca="false">'IR Calculator'!C14+(144-0.5)*('IR Calculator'!C15-'IR Calculator'!C14)/MIN('IR Calculator'!C16,500)</f>
        <v>8.574</v>
      </c>
      <c r="D154" s="28" t="n">
        <f aca="false">('IR Calculator'!C15-'IR Calculator'!C14)/MIN('IR Calculator'!C16,500)</f>
        <v>0.004</v>
      </c>
      <c r="E154" s="29" t="n">
        <f aca="false">(2*'IR Calculator'!$C$5*'IR Calculator'!$C$6^2/((('IR Calculator'!C14+(144-0.5)*('IR Calculator'!C15-'IR Calculator'!C14)/MIN('IR Calculator'!C16,500))*0.000001)^5))/(EXP(MIN('IR Calculator'!$C$5*'IR Calculator'!$C$6/((('IR Calculator'!C14+(144-0.5)*('IR Calculator'!C15-'IR Calculator'!C14)/MIN('IR Calculator'!C16,500))*0.000001)*'IR Calculator'!$C$7*'IR Calculator'!$C$19),700))-1)*0.000001</f>
        <v>49.6656909690341</v>
      </c>
    </row>
    <row r="155" customFormat="false" ht="12.75" hidden="false" customHeight="true" outlineLevel="0" collapsed="false">
      <c r="B155" s="22" t="n">
        <v>145</v>
      </c>
      <c r="C155" s="23" t="n">
        <f aca="false">'IR Calculator'!C14+(145-0.5)*('IR Calculator'!C15-'IR Calculator'!C14)/MIN('IR Calculator'!C16,500)</f>
        <v>8.578</v>
      </c>
      <c r="D155" s="24" t="n">
        <f aca="false">('IR Calculator'!C15-'IR Calculator'!C14)/MIN('IR Calculator'!C16,500)</f>
        <v>0.004</v>
      </c>
      <c r="E155" s="25" t="n">
        <f aca="false">(2*'IR Calculator'!$C$5*'IR Calculator'!$C$6^2/((('IR Calculator'!C14+(145-0.5)*('IR Calculator'!C15-'IR Calculator'!C14)/MIN('IR Calculator'!C16,500))*0.000001)^5))/(EXP(MIN('IR Calculator'!$C$5*'IR Calculator'!$C$6/((('IR Calculator'!C14+(145-0.5)*('IR Calculator'!C15-'IR Calculator'!C14)/MIN('IR Calculator'!C16,500))*0.000001)*'IR Calculator'!$C$7*'IR Calculator'!$C$19),700))-1)*0.000001</f>
        <v>49.643490331261</v>
      </c>
    </row>
    <row r="156" customFormat="false" ht="12.75" hidden="false" customHeight="true" outlineLevel="0" collapsed="false">
      <c r="B156" s="26" t="n">
        <v>146</v>
      </c>
      <c r="C156" s="27" t="n">
        <f aca="false">'IR Calculator'!C14+(146-0.5)*('IR Calculator'!C15-'IR Calculator'!C14)/MIN('IR Calculator'!C16,500)</f>
        <v>8.582</v>
      </c>
      <c r="D156" s="28" t="n">
        <f aca="false">('IR Calculator'!C15-'IR Calculator'!C14)/MIN('IR Calculator'!C16,500)</f>
        <v>0.004</v>
      </c>
      <c r="E156" s="29" t="n">
        <f aca="false">(2*'IR Calculator'!$C$5*'IR Calculator'!$C$6^2/((('IR Calculator'!C14+(146-0.5)*('IR Calculator'!C15-'IR Calculator'!C14)/MIN('IR Calculator'!C16,500))*0.000001)^5))/(EXP(MIN('IR Calculator'!$C$5*'IR Calculator'!$C$6/((('IR Calculator'!C14+(146-0.5)*('IR Calculator'!C15-'IR Calculator'!C14)/MIN('IR Calculator'!C16,500))*0.000001)*'IR Calculator'!$C$7*'IR Calculator'!$C$19),700))-1)*0.000001</f>
        <v>49.6212697179602</v>
      </c>
    </row>
    <row r="157" customFormat="false" ht="12.75" hidden="false" customHeight="true" outlineLevel="0" collapsed="false">
      <c r="B157" s="22" t="n">
        <v>147</v>
      </c>
      <c r="C157" s="23" t="n">
        <f aca="false">'IR Calculator'!C14+(147-0.5)*('IR Calculator'!C15-'IR Calculator'!C14)/MIN('IR Calculator'!C16,500)</f>
        <v>8.586</v>
      </c>
      <c r="D157" s="24" t="n">
        <f aca="false">('IR Calculator'!C15-'IR Calculator'!C14)/MIN('IR Calculator'!C16,500)</f>
        <v>0.004</v>
      </c>
      <c r="E157" s="25" t="n">
        <f aca="false">(2*'IR Calculator'!$C$5*'IR Calculator'!$C$6^2/((('IR Calculator'!C14+(147-0.5)*('IR Calculator'!C15-'IR Calculator'!C14)/MIN('IR Calculator'!C16,500))*0.000001)^5))/(EXP(MIN('IR Calculator'!$C$5*'IR Calculator'!$C$6/((('IR Calculator'!C14+(147-0.5)*('IR Calculator'!C15-'IR Calculator'!C14)/MIN('IR Calculator'!C16,500))*0.000001)*'IR Calculator'!$C$7*'IR Calculator'!$C$19),700))-1)*0.000001</f>
        <v>49.5990292334637</v>
      </c>
    </row>
    <row r="158" customFormat="false" ht="12.75" hidden="false" customHeight="true" outlineLevel="0" collapsed="false">
      <c r="B158" s="26" t="n">
        <v>148</v>
      </c>
      <c r="C158" s="27" t="n">
        <f aca="false">'IR Calculator'!C14+(148-0.5)*('IR Calculator'!C15-'IR Calculator'!C14)/MIN('IR Calculator'!C16,500)</f>
        <v>8.59</v>
      </c>
      <c r="D158" s="28" t="n">
        <f aca="false">('IR Calculator'!C15-'IR Calculator'!C14)/MIN('IR Calculator'!C16,500)</f>
        <v>0.004</v>
      </c>
      <c r="E158" s="29" t="n">
        <f aca="false">(2*'IR Calculator'!$C$5*'IR Calculator'!$C$6^2/((('IR Calculator'!C14+(148-0.5)*('IR Calculator'!C15-'IR Calculator'!C14)/MIN('IR Calculator'!C16,500))*0.000001)^5))/(EXP(MIN('IR Calculator'!$C$5*'IR Calculator'!$C$6/((('IR Calculator'!C14+(148-0.5)*('IR Calculator'!C15-'IR Calculator'!C14)/MIN('IR Calculator'!C16,500))*0.000001)*'IR Calculator'!$C$7*'IR Calculator'!$C$19),700))-1)*0.000001</f>
        <v>49.5767689818471</v>
      </c>
    </row>
    <row r="159" customFormat="false" ht="12.75" hidden="false" customHeight="true" outlineLevel="0" collapsed="false">
      <c r="B159" s="22" t="n">
        <v>149</v>
      </c>
      <c r="C159" s="23" t="n">
        <f aca="false">'IR Calculator'!C14+(149-0.5)*('IR Calculator'!C15-'IR Calculator'!C14)/MIN('IR Calculator'!C16,500)</f>
        <v>8.594</v>
      </c>
      <c r="D159" s="24" t="n">
        <f aca="false">('IR Calculator'!C15-'IR Calculator'!C14)/MIN('IR Calculator'!C16,500)</f>
        <v>0.004</v>
      </c>
      <c r="E159" s="25" t="n">
        <f aca="false">(2*'IR Calculator'!$C$5*'IR Calculator'!$C$6^2/((('IR Calculator'!C14+(149-0.5)*('IR Calculator'!C15-'IR Calculator'!C14)/MIN('IR Calculator'!C16,500))*0.000001)^5))/(EXP(MIN('IR Calculator'!$C$5*'IR Calculator'!$C$6/((('IR Calculator'!C14+(149-0.5)*('IR Calculator'!C15-'IR Calculator'!C14)/MIN('IR Calculator'!C16,500))*0.000001)*'IR Calculator'!$C$7*'IR Calculator'!$C$19),700))-1)*0.000001</f>
        <v>49.5544890669295</v>
      </c>
    </row>
    <row r="160" customFormat="false" ht="12.75" hidden="false" customHeight="true" outlineLevel="0" collapsed="false">
      <c r="B160" s="26" t="n">
        <v>150</v>
      </c>
      <c r="C160" s="27" t="n">
        <f aca="false">'IR Calculator'!C14+(150-0.5)*('IR Calculator'!C15-'IR Calculator'!C14)/MIN('IR Calculator'!C16,500)</f>
        <v>8.598</v>
      </c>
      <c r="D160" s="28" t="n">
        <f aca="false">('IR Calculator'!C15-'IR Calculator'!C14)/MIN('IR Calculator'!C16,500)</f>
        <v>0.004</v>
      </c>
      <c r="E160" s="29" t="n">
        <f aca="false">(2*'IR Calculator'!$C$5*'IR Calculator'!$C$6^2/((('IR Calculator'!C14+(150-0.5)*('IR Calculator'!C15-'IR Calculator'!C14)/MIN('IR Calculator'!C16,500))*0.000001)^5))/(EXP(MIN('IR Calculator'!$C$5*'IR Calculator'!$C$6/((('IR Calculator'!C14+(150-0.5)*('IR Calculator'!C15-'IR Calculator'!C14)/MIN('IR Calculator'!C16,500))*0.000001)*'IR Calculator'!$C$7*'IR Calculator'!$C$19),700))-1)*0.000001</f>
        <v>49.5321895922739</v>
      </c>
    </row>
    <row r="161" customFormat="false" ht="12.75" hidden="false" customHeight="true" outlineLevel="0" collapsed="false">
      <c r="B161" s="22" t="n">
        <v>151</v>
      </c>
      <c r="C161" s="23" t="n">
        <f aca="false">'IR Calculator'!C14+(151-0.5)*('IR Calculator'!C15-'IR Calculator'!C14)/MIN('IR Calculator'!C16,500)</f>
        <v>8.602</v>
      </c>
      <c r="D161" s="24" t="n">
        <f aca="false">('IR Calculator'!C15-'IR Calculator'!C14)/MIN('IR Calculator'!C16,500)</f>
        <v>0.004</v>
      </c>
      <c r="E161" s="25" t="n">
        <f aca="false">(2*'IR Calculator'!$C$5*'IR Calculator'!$C$6^2/((('IR Calculator'!C14+(151-0.5)*('IR Calculator'!C15-'IR Calculator'!C14)/MIN('IR Calculator'!C16,500))*0.000001)^5))/(EXP(MIN('IR Calculator'!$C$5*'IR Calculator'!$C$6/((('IR Calculator'!C14+(151-0.5)*('IR Calculator'!C15-'IR Calculator'!C14)/MIN('IR Calculator'!C16,500))*0.000001)*'IR Calculator'!$C$7*'IR Calculator'!$C$19),700))-1)*0.000001</f>
        <v>49.5098706611881</v>
      </c>
    </row>
    <row r="162" customFormat="false" ht="12.75" hidden="false" customHeight="true" outlineLevel="0" collapsed="false">
      <c r="B162" s="26" t="n">
        <v>152</v>
      </c>
      <c r="C162" s="27" t="n">
        <f aca="false">'IR Calculator'!C14+(152-0.5)*('IR Calculator'!C15-'IR Calculator'!C14)/MIN('IR Calculator'!C16,500)</f>
        <v>8.606</v>
      </c>
      <c r="D162" s="28" t="n">
        <f aca="false">('IR Calculator'!C15-'IR Calculator'!C14)/MIN('IR Calculator'!C16,500)</f>
        <v>0.004</v>
      </c>
      <c r="E162" s="29" t="n">
        <f aca="false">(2*'IR Calculator'!$C$5*'IR Calculator'!$C$6^2/((('IR Calculator'!C14+(152-0.5)*('IR Calculator'!C15-'IR Calculator'!C14)/MIN('IR Calculator'!C16,500))*0.000001)^5))/(EXP(MIN('IR Calculator'!$C$5*'IR Calculator'!$C$6/((('IR Calculator'!C14+(152-0.5)*('IR Calculator'!C15-'IR Calculator'!C14)/MIN('IR Calculator'!C16,500))*0.000001)*'IR Calculator'!$C$7*'IR Calculator'!$C$19),700))-1)*0.000001</f>
        <v>49.4875323767242</v>
      </c>
    </row>
    <row r="163" customFormat="false" ht="12.75" hidden="false" customHeight="true" outlineLevel="0" collapsed="false">
      <c r="B163" s="22" t="n">
        <v>153</v>
      </c>
      <c r="C163" s="23" t="n">
        <f aca="false">'IR Calculator'!C14+(153-0.5)*('IR Calculator'!C15-'IR Calculator'!C14)/MIN('IR Calculator'!C16,500)</f>
        <v>8.61</v>
      </c>
      <c r="D163" s="24" t="n">
        <f aca="false">('IR Calculator'!C15-'IR Calculator'!C14)/MIN('IR Calculator'!C16,500)</f>
        <v>0.004</v>
      </c>
      <c r="E163" s="25" t="n">
        <f aca="false">(2*'IR Calculator'!$C$5*'IR Calculator'!$C$6^2/((('IR Calculator'!C14+(153-0.5)*('IR Calculator'!C15-'IR Calculator'!C14)/MIN('IR Calculator'!C16,500))*0.000001)^5))/(EXP(MIN('IR Calculator'!$C$5*'IR Calculator'!$C$6/((('IR Calculator'!C14+(153-0.5)*('IR Calculator'!C15-'IR Calculator'!C14)/MIN('IR Calculator'!C16,500))*0.000001)*'IR Calculator'!$C$7*'IR Calculator'!$C$19),700))-1)*0.000001</f>
        <v>49.4651748416795</v>
      </c>
    </row>
    <row r="164" customFormat="false" ht="12.75" hidden="false" customHeight="true" outlineLevel="0" collapsed="false">
      <c r="B164" s="26" t="n">
        <v>154</v>
      </c>
      <c r="C164" s="27" t="n">
        <f aca="false">'IR Calculator'!C14+(154-0.5)*('IR Calculator'!C15-'IR Calculator'!C14)/MIN('IR Calculator'!C16,500)</f>
        <v>8.614</v>
      </c>
      <c r="D164" s="28" t="n">
        <f aca="false">('IR Calculator'!C15-'IR Calculator'!C14)/MIN('IR Calculator'!C16,500)</f>
        <v>0.004</v>
      </c>
      <c r="E164" s="29" t="n">
        <f aca="false">(2*'IR Calculator'!$C$5*'IR Calculator'!$C$6^2/((('IR Calculator'!C14+(154-0.5)*('IR Calculator'!C15-'IR Calculator'!C14)/MIN('IR Calculator'!C16,500))*0.000001)^5))/(EXP(MIN('IR Calculator'!$C$5*'IR Calculator'!$C$6/((('IR Calculator'!C14+(154-0.5)*('IR Calculator'!C15-'IR Calculator'!C14)/MIN('IR Calculator'!C16,500))*0.000001)*'IR Calculator'!$C$7*'IR Calculator'!$C$19),700))-1)*0.000001</f>
        <v>49.4427981585971</v>
      </c>
    </row>
    <row r="165" customFormat="false" ht="12.75" hidden="false" customHeight="true" outlineLevel="0" collapsed="false">
      <c r="B165" s="22" t="n">
        <v>155</v>
      </c>
      <c r="C165" s="23" t="n">
        <f aca="false">'IR Calculator'!C14+(155-0.5)*('IR Calculator'!C15-'IR Calculator'!C14)/MIN('IR Calculator'!C16,500)</f>
        <v>8.618</v>
      </c>
      <c r="D165" s="24" t="n">
        <f aca="false">('IR Calculator'!C15-'IR Calculator'!C14)/MIN('IR Calculator'!C16,500)</f>
        <v>0.004</v>
      </c>
      <c r="E165" s="25" t="n">
        <f aca="false">(2*'IR Calculator'!$C$5*'IR Calculator'!$C$6^2/((('IR Calculator'!C14+(155-0.5)*('IR Calculator'!C15-'IR Calculator'!C14)/MIN('IR Calculator'!C16,500))*0.000001)^5))/(EXP(MIN('IR Calculator'!$C$5*'IR Calculator'!$C$6/((('IR Calculator'!C14+(155-0.5)*('IR Calculator'!C15-'IR Calculator'!C14)/MIN('IR Calculator'!C16,500))*0.000001)*'IR Calculator'!$C$7*'IR Calculator'!$C$19),700))-1)*0.000001</f>
        <v>49.4204024297657</v>
      </c>
    </row>
    <row r="166" customFormat="false" ht="12.75" hidden="false" customHeight="true" outlineLevel="0" collapsed="false">
      <c r="B166" s="26" t="n">
        <v>156</v>
      </c>
      <c r="C166" s="27" t="n">
        <f aca="false">'IR Calculator'!C14+(156-0.5)*('IR Calculator'!C15-'IR Calculator'!C14)/MIN('IR Calculator'!C16,500)</f>
        <v>8.622</v>
      </c>
      <c r="D166" s="28" t="n">
        <f aca="false">('IR Calculator'!C15-'IR Calculator'!C14)/MIN('IR Calculator'!C16,500)</f>
        <v>0.004</v>
      </c>
      <c r="E166" s="29" t="n">
        <f aca="false">(2*'IR Calculator'!$C$5*'IR Calculator'!$C$6^2/((('IR Calculator'!C14+(156-0.5)*('IR Calculator'!C15-'IR Calculator'!C14)/MIN('IR Calculator'!C16,500))*0.000001)^5))/(EXP(MIN('IR Calculator'!$C$5*'IR Calculator'!$C$6/((('IR Calculator'!C14+(156-0.5)*('IR Calculator'!C15-'IR Calculator'!C14)/MIN('IR Calculator'!C16,500))*0.000001)*'IR Calculator'!$C$7*'IR Calculator'!$C$19),700))-1)*0.000001</f>
        <v>49.3979877572202</v>
      </c>
    </row>
    <row r="167" customFormat="false" ht="12.75" hidden="false" customHeight="true" outlineLevel="0" collapsed="false">
      <c r="B167" s="22" t="n">
        <v>157</v>
      </c>
      <c r="C167" s="23" t="n">
        <f aca="false">'IR Calculator'!C14+(157-0.5)*('IR Calculator'!C15-'IR Calculator'!C14)/MIN('IR Calculator'!C16,500)</f>
        <v>8.626</v>
      </c>
      <c r="D167" s="24" t="n">
        <f aca="false">('IR Calculator'!C15-'IR Calculator'!C14)/MIN('IR Calculator'!C16,500)</f>
        <v>0.004</v>
      </c>
      <c r="E167" s="25" t="n">
        <f aca="false">(2*'IR Calculator'!$C$5*'IR Calculator'!$C$6^2/((('IR Calculator'!C14+(157-0.5)*('IR Calculator'!C15-'IR Calculator'!C14)/MIN('IR Calculator'!C16,500))*0.000001)^5))/(EXP(MIN('IR Calculator'!$C$5*'IR Calculator'!$C$6/((('IR Calculator'!C14+(157-0.5)*('IR Calculator'!C15-'IR Calculator'!C14)/MIN('IR Calculator'!C16,500))*0.000001)*'IR Calculator'!$C$7*'IR Calculator'!$C$19),700))-1)*0.000001</f>
        <v>49.3755542427424</v>
      </c>
    </row>
    <row r="168" customFormat="false" ht="12.75" hidden="false" customHeight="true" outlineLevel="0" collapsed="false">
      <c r="B168" s="26" t="n">
        <v>158</v>
      </c>
      <c r="C168" s="27" t="n">
        <f aca="false">'IR Calculator'!C14+(158-0.5)*('IR Calculator'!C15-'IR Calculator'!C14)/MIN('IR Calculator'!C16,500)</f>
        <v>8.63</v>
      </c>
      <c r="D168" s="28" t="n">
        <f aca="false">('IR Calculator'!C15-'IR Calculator'!C14)/MIN('IR Calculator'!C16,500)</f>
        <v>0.004</v>
      </c>
      <c r="E168" s="29" t="n">
        <f aca="false">(2*'IR Calculator'!$C$5*'IR Calculator'!$C$6^2/((('IR Calculator'!C14+(158-0.5)*('IR Calculator'!C15-'IR Calculator'!C14)/MIN('IR Calculator'!C16,500))*0.000001)^5))/(EXP(MIN('IR Calculator'!$C$5*'IR Calculator'!$C$6/((('IR Calculator'!C14+(158-0.5)*('IR Calculator'!C15-'IR Calculator'!C14)/MIN('IR Calculator'!C16,500))*0.000001)*'IR Calculator'!$C$7*'IR Calculator'!$C$19),700))-1)*0.000001</f>
        <v>49.3531019878607</v>
      </c>
    </row>
    <row r="169" customFormat="false" ht="12.75" hidden="false" customHeight="true" outlineLevel="0" collapsed="false">
      <c r="B169" s="22" t="n">
        <v>159</v>
      </c>
      <c r="C169" s="23" t="n">
        <f aca="false">'IR Calculator'!C14+(159-0.5)*('IR Calculator'!C15-'IR Calculator'!C14)/MIN('IR Calculator'!C16,500)</f>
        <v>8.634</v>
      </c>
      <c r="D169" s="24" t="n">
        <f aca="false">('IR Calculator'!C15-'IR Calculator'!C14)/MIN('IR Calculator'!C16,500)</f>
        <v>0.004</v>
      </c>
      <c r="E169" s="25" t="n">
        <f aca="false">(2*'IR Calculator'!$C$5*'IR Calculator'!$C$6^2/((('IR Calculator'!C14+(159-0.5)*('IR Calculator'!C15-'IR Calculator'!C14)/MIN('IR Calculator'!C16,500))*0.000001)^5))/(EXP(MIN('IR Calculator'!$C$5*'IR Calculator'!$C$6/((('IR Calculator'!C14+(159-0.5)*('IR Calculator'!C15-'IR Calculator'!C14)/MIN('IR Calculator'!C16,500))*0.000001)*'IR Calculator'!$C$7*'IR Calculator'!$C$19),700))-1)*0.000001</f>
        <v>49.3306310938512</v>
      </c>
    </row>
    <row r="170" customFormat="false" ht="12.75" hidden="false" customHeight="true" outlineLevel="0" collapsed="false">
      <c r="B170" s="26" t="n">
        <v>160</v>
      </c>
      <c r="C170" s="27" t="n">
        <f aca="false">'IR Calculator'!C14+(160-0.5)*('IR Calculator'!C15-'IR Calculator'!C14)/MIN('IR Calculator'!C16,500)</f>
        <v>8.638</v>
      </c>
      <c r="D170" s="28" t="n">
        <f aca="false">('IR Calculator'!C15-'IR Calculator'!C14)/MIN('IR Calculator'!C16,500)</f>
        <v>0.004</v>
      </c>
      <c r="E170" s="29" t="n">
        <f aca="false">(2*'IR Calculator'!$C$5*'IR Calculator'!$C$6^2/((('IR Calculator'!C14+(160-0.5)*('IR Calculator'!C15-'IR Calculator'!C14)/MIN('IR Calculator'!C16,500))*0.000001)^5))/(EXP(MIN('IR Calculator'!$C$5*'IR Calculator'!$C$6/((('IR Calculator'!C14+(160-0.5)*('IR Calculator'!C15-'IR Calculator'!C14)/MIN('IR Calculator'!C16,500))*0.000001)*'IR Calculator'!$C$7*'IR Calculator'!$C$19),700))-1)*0.000001</f>
        <v>49.3081416617376</v>
      </c>
    </row>
    <row r="171" customFormat="false" ht="12.75" hidden="false" customHeight="true" outlineLevel="0" collapsed="false">
      <c r="B171" s="22" t="n">
        <v>161</v>
      </c>
      <c r="C171" s="23" t="n">
        <f aca="false">'IR Calculator'!C14+(161-0.5)*('IR Calculator'!C15-'IR Calculator'!C14)/MIN('IR Calculator'!C16,500)</f>
        <v>8.642</v>
      </c>
      <c r="D171" s="24" t="n">
        <f aca="false">('IR Calculator'!C15-'IR Calculator'!C14)/MIN('IR Calculator'!C16,500)</f>
        <v>0.004</v>
      </c>
      <c r="E171" s="25" t="n">
        <f aca="false">(2*'IR Calculator'!$C$5*'IR Calculator'!$C$6^2/((('IR Calculator'!C14+(161-0.5)*('IR Calculator'!C15-'IR Calculator'!C14)/MIN('IR Calculator'!C16,500))*0.000001)^5))/(EXP(MIN('IR Calculator'!$C$5*'IR Calculator'!$C$6/((('IR Calculator'!C14+(161-0.5)*('IR Calculator'!C15-'IR Calculator'!C14)/MIN('IR Calculator'!C16,500))*0.000001)*'IR Calculator'!$C$7*'IR Calculator'!$C$19),700))-1)*0.000001</f>
        <v>49.2856337922917</v>
      </c>
    </row>
    <row r="172" customFormat="false" ht="12.75" hidden="false" customHeight="true" outlineLevel="0" collapsed="false">
      <c r="B172" s="26" t="n">
        <v>162</v>
      </c>
      <c r="C172" s="27" t="n">
        <f aca="false">'IR Calculator'!C14+(162-0.5)*('IR Calculator'!C15-'IR Calculator'!C14)/MIN('IR Calculator'!C16,500)</f>
        <v>8.646</v>
      </c>
      <c r="D172" s="28" t="n">
        <f aca="false">('IR Calculator'!C15-'IR Calculator'!C14)/MIN('IR Calculator'!C16,500)</f>
        <v>0.004</v>
      </c>
      <c r="E172" s="29" t="n">
        <f aca="false">(2*'IR Calculator'!$C$5*'IR Calculator'!$C$6^2/((('IR Calculator'!C14+(162-0.5)*('IR Calculator'!C15-'IR Calculator'!C14)/MIN('IR Calculator'!C16,500))*0.000001)^5))/(EXP(MIN('IR Calculator'!$C$5*'IR Calculator'!$C$6/((('IR Calculator'!C14+(162-0.5)*('IR Calculator'!C15-'IR Calculator'!C14)/MIN('IR Calculator'!C16,500))*0.000001)*'IR Calculator'!$C$7*'IR Calculator'!$C$19),700))-1)*0.000001</f>
        <v>49.2631075860336</v>
      </c>
    </row>
    <row r="173" customFormat="false" ht="12.75" hidden="false" customHeight="true" outlineLevel="0" collapsed="false">
      <c r="B173" s="22" t="n">
        <v>163</v>
      </c>
      <c r="C173" s="23" t="n">
        <f aca="false">'IR Calculator'!C14+(163-0.5)*('IR Calculator'!C15-'IR Calculator'!C14)/MIN('IR Calculator'!C16,500)</f>
        <v>8.65</v>
      </c>
      <c r="D173" s="24" t="n">
        <f aca="false">('IR Calculator'!C15-'IR Calculator'!C14)/MIN('IR Calculator'!C16,500)</f>
        <v>0.004</v>
      </c>
      <c r="E173" s="25" t="n">
        <f aca="false">(2*'IR Calculator'!$C$5*'IR Calculator'!$C$6^2/((('IR Calculator'!C14+(163-0.5)*('IR Calculator'!C15-'IR Calculator'!C14)/MIN('IR Calculator'!C16,500))*0.000001)^5))/(EXP(MIN('IR Calculator'!$C$5*'IR Calculator'!$C$6/((('IR Calculator'!C14+(163-0.5)*('IR Calculator'!C15-'IR Calculator'!C14)/MIN('IR Calculator'!C16,500))*0.000001)*'IR Calculator'!$C$7*'IR Calculator'!$C$19),700))-1)*0.000001</f>
        <v>49.2405631432326</v>
      </c>
    </row>
    <row r="174" customFormat="false" ht="12.75" hidden="false" customHeight="true" outlineLevel="0" collapsed="false">
      <c r="B174" s="26" t="n">
        <v>164</v>
      </c>
      <c r="C174" s="27" t="n">
        <f aca="false">'IR Calculator'!C14+(164-0.5)*('IR Calculator'!C15-'IR Calculator'!C14)/MIN('IR Calculator'!C16,500)</f>
        <v>8.654</v>
      </c>
      <c r="D174" s="28" t="n">
        <f aca="false">('IR Calculator'!C15-'IR Calculator'!C14)/MIN('IR Calculator'!C16,500)</f>
        <v>0.004</v>
      </c>
      <c r="E174" s="29" t="n">
        <f aca="false">(2*'IR Calculator'!$C$5*'IR Calculator'!$C$6^2/((('IR Calculator'!C14+(164-0.5)*('IR Calculator'!C15-'IR Calculator'!C14)/MIN('IR Calculator'!C16,500))*0.000001)^5))/(EXP(MIN('IR Calculator'!$C$5*'IR Calculator'!$C$6/((('IR Calculator'!C14+(164-0.5)*('IR Calculator'!C15-'IR Calculator'!C14)/MIN('IR Calculator'!C16,500))*0.000001)*'IR Calculator'!$C$7*'IR Calculator'!$C$19),700))-1)*0.000001</f>
        <v>49.218000563907</v>
      </c>
    </row>
    <row r="175" customFormat="false" ht="12.75" hidden="false" customHeight="true" outlineLevel="0" collapsed="false">
      <c r="B175" s="22" t="n">
        <v>165</v>
      </c>
      <c r="C175" s="23" t="n">
        <f aca="false">'IR Calculator'!C14+(165-0.5)*('IR Calculator'!C15-'IR Calculator'!C14)/MIN('IR Calculator'!C16,500)</f>
        <v>8.658</v>
      </c>
      <c r="D175" s="24" t="n">
        <f aca="false">('IR Calculator'!C15-'IR Calculator'!C14)/MIN('IR Calculator'!C16,500)</f>
        <v>0.004</v>
      </c>
      <c r="E175" s="25" t="n">
        <f aca="false">(2*'IR Calculator'!$C$5*'IR Calculator'!$C$6^2/((('IR Calculator'!C14+(165-0.5)*('IR Calculator'!C15-'IR Calculator'!C14)/MIN('IR Calculator'!C16,500))*0.000001)^5))/(EXP(MIN('IR Calculator'!$C$5*'IR Calculator'!$C$6/((('IR Calculator'!C14+(165-0.5)*('IR Calculator'!C15-'IR Calculator'!C14)/MIN('IR Calculator'!C16,500))*0.000001)*'IR Calculator'!$C$7*'IR Calculator'!$C$19),700))-1)*0.000001</f>
        <v>49.1954199478248</v>
      </c>
    </row>
    <row r="176" customFormat="false" ht="12.75" hidden="false" customHeight="true" outlineLevel="0" collapsed="false">
      <c r="B176" s="26" t="n">
        <v>166</v>
      </c>
      <c r="C176" s="27" t="n">
        <f aca="false">'IR Calculator'!C14+(166-0.5)*('IR Calculator'!C15-'IR Calculator'!C14)/MIN('IR Calculator'!C16,500)</f>
        <v>8.662</v>
      </c>
      <c r="D176" s="28" t="n">
        <f aca="false">('IR Calculator'!C15-'IR Calculator'!C14)/MIN('IR Calculator'!C16,500)</f>
        <v>0.004</v>
      </c>
      <c r="E176" s="29" t="n">
        <f aca="false">(2*'IR Calculator'!$C$5*'IR Calculator'!$C$6^2/((('IR Calculator'!C14+(166-0.5)*('IR Calculator'!C15-'IR Calculator'!C14)/MIN('IR Calculator'!C16,500))*0.000001)^5))/(EXP(MIN('IR Calculator'!$C$5*'IR Calculator'!$C$6/((('IR Calculator'!C14+(166-0.5)*('IR Calculator'!C15-'IR Calculator'!C14)/MIN('IR Calculator'!C16,500))*0.000001)*'IR Calculator'!$C$7*'IR Calculator'!$C$19),700))-1)*0.000001</f>
        <v>49.172821394504</v>
      </c>
    </row>
    <row r="177" customFormat="false" ht="12.75" hidden="false" customHeight="true" outlineLevel="0" collapsed="false">
      <c r="B177" s="22" t="n">
        <v>167</v>
      </c>
      <c r="C177" s="23" t="n">
        <f aca="false">'IR Calculator'!C14+(167-0.5)*('IR Calculator'!C15-'IR Calculator'!C14)/MIN('IR Calculator'!C16,500)</f>
        <v>8.666</v>
      </c>
      <c r="D177" s="24" t="n">
        <f aca="false">('IR Calculator'!C15-'IR Calculator'!C14)/MIN('IR Calculator'!C16,500)</f>
        <v>0.004</v>
      </c>
      <c r="E177" s="25" t="n">
        <f aca="false">(2*'IR Calculator'!$C$5*'IR Calculator'!$C$6^2/((('IR Calculator'!C14+(167-0.5)*('IR Calculator'!C15-'IR Calculator'!C14)/MIN('IR Calculator'!C16,500))*0.000001)^5))/(EXP(MIN('IR Calculator'!$C$5*'IR Calculator'!$C$6/((('IR Calculator'!C14+(167-0.5)*('IR Calculator'!C15-'IR Calculator'!C14)/MIN('IR Calculator'!C16,500))*0.000001)*'IR Calculator'!$C$7*'IR Calculator'!$C$19),700))-1)*0.000001</f>
        <v>49.1502050032129</v>
      </c>
    </row>
    <row r="178" customFormat="false" ht="12.75" hidden="false" customHeight="true" outlineLevel="0" collapsed="false">
      <c r="B178" s="26" t="n">
        <v>168</v>
      </c>
      <c r="C178" s="27" t="n">
        <f aca="false">'IR Calculator'!C14+(168-0.5)*('IR Calculator'!C15-'IR Calculator'!C14)/MIN('IR Calculator'!C16,500)</f>
        <v>8.67</v>
      </c>
      <c r="D178" s="28" t="n">
        <f aca="false">('IR Calculator'!C15-'IR Calculator'!C14)/MIN('IR Calculator'!C16,500)</f>
        <v>0.004</v>
      </c>
      <c r="E178" s="29" t="n">
        <f aca="false">(2*'IR Calculator'!$C$5*'IR Calculator'!$C$6^2/((('IR Calculator'!C14+(168-0.5)*('IR Calculator'!C15-'IR Calculator'!C14)/MIN('IR Calculator'!C16,500))*0.000001)^5))/(EXP(MIN('IR Calculator'!$C$5*'IR Calculator'!$C$6/((('IR Calculator'!C14+(168-0.5)*('IR Calculator'!C15-'IR Calculator'!C14)/MIN('IR Calculator'!C16,500))*0.000001)*'IR Calculator'!$C$7*'IR Calculator'!$C$19),700))-1)*0.000001</f>
        <v>49.1275708729705</v>
      </c>
    </row>
    <row r="179" customFormat="false" ht="12.75" hidden="false" customHeight="true" outlineLevel="0" collapsed="false">
      <c r="B179" s="22" t="n">
        <v>169</v>
      </c>
      <c r="C179" s="23" t="n">
        <f aca="false">'IR Calculator'!C14+(169-0.5)*('IR Calculator'!C15-'IR Calculator'!C14)/MIN('IR Calculator'!C16,500)</f>
        <v>8.674</v>
      </c>
      <c r="D179" s="24" t="n">
        <f aca="false">('IR Calculator'!C15-'IR Calculator'!C14)/MIN('IR Calculator'!C16,500)</f>
        <v>0.004</v>
      </c>
      <c r="E179" s="25" t="n">
        <f aca="false">(2*'IR Calculator'!$C$5*'IR Calculator'!$C$6^2/((('IR Calculator'!C14+(169-0.5)*('IR Calculator'!C15-'IR Calculator'!C14)/MIN('IR Calculator'!C16,500))*0.000001)^5))/(EXP(MIN('IR Calculator'!$C$5*'IR Calculator'!$C$6/((('IR Calculator'!C14+(169-0.5)*('IR Calculator'!C15-'IR Calculator'!C14)/MIN('IR Calculator'!C16,500))*0.000001)*'IR Calculator'!$C$7*'IR Calculator'!$C$19),700))-1)*0.000001</f>
        <v>49.104919102547</v>
      </c>
    </row>
    <row r="180" customFormat="false" ht="12.75" hidden="false" customHeight="true" outlineLevel="0" collapsed="false">
      <c r="B180" s="26" t="n">
        <v>170</v>
      </c>
      <c r="C180" s="27" t="n">
        <f aca="false">'IR Calculator'!C14+(170-0.5)*('IR Calculator'!C15-'IR Calculator'!C14)/MIN('IR Calculator'!C16,500)</f>
        <v>8.678</v>
      </c>
      <c r="D180" s="28" t="n">
        <f aca="false">('IR Calculator'!C15-'IR Calculator'!C14)/MIN('IR Calculator'!C16,500)</f>
        <v>0.004</v>
      </c>
      <c r="E180" s="29" t="n">
        <f aca="false">(2*'IR Calculator'!$C$5*'IR Calculator'!$C$6^2/((('IR Calculator'!C14+(170-0.5)*('IR Calculator'!C15-'IR Calculator'!C14)/MIN('IR Calculator'!C16,500))*0.000001)^5))/(EXP(MIN('IR Calculator'!$C$5*'IR Calculator'!$C$6/((('IR Calculator'!C14+(170-0.5)*('IR Calculator'!C15-'IR Calculator'!C14)/MIN('IR Calculator'!C16,500))*0.000001)*'IR Calculator'!$C$7*'IR Calculator'!$C$19),700))-1)*0.000001</f>
        <v>49.0822497904642</v>
      </c>
    </row>
    <row r="181" customFormat="false" ht="12.75" hidden="false" customHeight="true" outlineLevel="0" collapsed="false">
      <c r="B181" s="22" t="n">
        <v>171</v>
      </c>
      <c r="C181" s="23" t="n">
        <f aca="false">'IR Calculator'!C14+(171-0.5)*('IR Calculator'!C15-'IR Calculator'!C14)/MIN('IR Calculator'!C16,500)</f>
        <v>8.682</v>
      </c>
      <c r="D181" s="24" t="n">
        <f aca="false">('IR Calculator'!C15-'IR Calculator'!C14)/MIN('IR Calculator'!C16,500)</f>
        <v>0.004</v>
      </c>
      <c r="E181" s="25" t="n">
        <f aca="false">(2*'IR Calculator'!$C$5*'IR Calculator'!$C$6^2/((('IR Calculator'!C14+(171-0.5)*('IR Calculator'!C15-'IR Calculator'!C14)/MIN('IR Calculator'!C16,500))*0.000001)^5))/(EXP(MIN('IR Calculator'!$C$5*'IR Calculator'!$C$6/((('IR Calculator'!C14+(171-0.5)*('IR Calculator'!C15-'IR Calculator'!C14)/MIN('IR Calculator'!C16,500))*0.000001)*'IR Calculator'!$C$7*'IR Calculator'!$C$19),700))-1)*0.000001</f>
        <v>49.0595630349955</v>
      </c>
    </row>
    <row r="182" customFormat="false" ht="12.75" hidden="false" customHeight="true" outlineLevel="0" collapsed="false">
      <c r="B182" s="26" t="n">
        <v>172</v>
      </c>
      <c r="C182" s="27" t="n">
        <f aca="false">'IR Calculator'!C14+(172-0.5)*('IR Calculator'!C15-'IR Calculator'!C14)/MIN('IR Calculator'!C16,500)</f>
        <v>8.686</v>
      </c>
      <c r="D182" s="28" t="n">
        <f aca="false">('IR Calculator'!C15-'IR Calculator'!C14)/MIN('IR Calculator'!C16,500)</f>
        <v>0.004</v>
      </c>
      <c r="E182" s="29" t="n">
        <f aca="false">(2*'IR Calculator'!$C$5*'IR Calculator'!$C$6^2/((('IR Calculator'!C14+(172-0.5)*('IR Calculator'!C15-'IR Calculator'!C14)/MIN('IR Calculator'!C16,500))*0.000001)^5))/(EXP(MIN('IR Calculator'!$C$5*'IR Calculator'!$C$6/((('IR Calculator'!C14+(172-0.5)*('IR Calculator'!C15-'IR Calculator'!C14)/MIN('IR Calculator'!C16,500))*0.000001)*'IR Calculator'!$C$7*'IR Calculator'!$C$19),700))-1)*0.000001</f>
        <v>49.0368589341669</v>
      </c>
    </row>
    <row r="183" customFormat="false" ht="12.75" hidden="false" customHeight="true" outlineLevel="0" collapsed="false">
      <c r="B183" s="22" t="n">
        <v>173</v>
      </c>
      <c r="C183" s="23" t="n">
        <f aca="false">'IR Calculator'!C14+(173-0.5)*('IR Calculator'!C15-'IR Calculator'!C14)/MIN('IR Calculator'!C16,500)</f>
        <v>8.69</v>
      </c>
      <c r="D183" s="24" t="n">
        <f aca="false">('IR Calculator'!C15-'IR Calculator'!C14)/MIN('IR Calculator'!C16,500)</f>
        <v>0.004</v>
      </c>
      <c r="E183" s="25" t="n">
        <f aca="false">(2*'IR Calculator'!$C$5*'IR Calculator'!$C$6^2/((('IR Calculator'!C14+(173-0.5)*('IR Calculator'!C15-'IR Calculator'!C14)/MIN('IR Calculator'!C16,500))*0.000001)^5))/(EXP(MIN('IR Calculator'!$C$5*'IR Calculator'!$C$6/((('IR Calculator'!C14+(173-0.5)*('IR Calculator'!C15-'IR Calculator'!C14)/MIN('IR Calculator'!C16,500))*0.000001)*'IR Calculator'!$C$7*'IR Calculator'!$C$19),700))-1)*0.000001</f>
        <v>49.0141375857567</v>
      </c>
    </row>
    <row r="184" customFormat="false" ht="12.75" hidden="false" customHeight="true" outlineLevel="0" collapsed="false">
      <c r="B184" s="26" t="n">
        <v>174</v>
      </c>
      <c r="C184" s="27" t="n">
        <f aca="false">'IR Calculator'!C14+(174-0.5)*('IR Calculator'!C15-'IR Calculator'!C14)/MIN('IR Calculator'!C16,500)</f>
        <v>8.694</v>
      </c>
      <c r="D184" s="28" t="n">
        <f aca="false">('IR Calculator'!C15-'IR Calculator'!C14)/MIN('IR Calculator'!C16,500)</f>
        <v>0.004</v>
      </c>
      <c r="E184" s="29" t="n">
        <f aca="false">(2*'IR Calculator'!$C$5*'IR Calculator'!$C$6^2/((('IR Calculator'!C14+(174-0.5)*('IR Calculator'!C15-'IR Calculator'!C14)/MIN('IR Calculator'!C16,500))*0.000001)^5))/(EXP(MIN('IR Calculator'!$C$5*'IR Calculator'!$C$6/((('IR Calculator'!C14+(174-0.5)*('IR Calculator'!C15-'IR Calculator'!C14)/MIN('IR Calculator'!C16,500))*0.000001)*'IR Calculator'!$C$7*'IR Calculator'!$C$19),700))-1)*0.000001</f>
        <v>48.9913990872965</v>
      </c>
    </row>
    <row r="185" customFormat="false" ht="12.75" hidden="false" customHeight="true" outlineLevel="0" collapsed="false">
      <c r="B185" s="22" t="n">
        <v>175</v>
      </c>
      <c r="C185" s="23" t="n">
        <f aca="false">'IR Calculator'!C14+(175-0.5)*('IR Calculator'!C15-'IR Calculator'!C14)/MIN('IR Calculator'!C16,500)</f>
        <v>8.698</v>
      </c>
      <c r="D185" s="24" t="n">
        <f aca="false">('IR Calculator'!C15-'IR Calculator'!C14)/MIN('IR Calculator'!C16,500)</f>
        <v>0.004</v>
      </c>
      <c r="E185" s="25" t="n">
        <f aca="false">(2*'IR Calculator'!$C$5*'IR Calculator'!$C$6^2/((('IR Calculator'!C14+(175-0.5)*('IR Calculator'!C15-'IR Calculator'!C14)/MIN('IR Calculator'!C16,500))*0.000001)^5))/(EXP(MIN('IR Calculator'!$C$5*'IR Calculator'!$C$6/((('IR Calculator'!C14+(175-0.5)*('IR Calculator'!C15-'IR Calculator'!C14)/MIN('IR Calculator'!C16,500))*0.000001)*'IR Calculator'!$C$7*'IR Calculator'!$C$19),700))-1)*0.000001</f>
        <v>48.968643536071</v>
      </c>
    </row>
    <row r="186" customFormat="false" ht="12.75" hidden="false" customHeight="true" outlineLevel="0" collapsed="false">
      <c r="B186" s="26" t="n">
        <v>176</v>
      </c>
      <c r="C186" s="27" t="n">
        <f aca="false">'IR Calculator'!C14+(176-0.5)*('IR Calculator'!C15-'IR Calculator'!C14)/MIN('IR Calculator'!C16,500)</f>
        <v>8.702</v>
      </c>
      <c r="D186" s="28" t="n">
        <f aca="false">('IR Calculator'!C15-'IR Calculator'!C14)/MIN('IR Calculator'!C16,500)</f>
        <v>0.004</v>
      </c>
      <c r="E186" s="29" t="n">
        <f aca="false">(2*'IR Calculator'!$C$5*'IR Calculator'!$C$6^2/((('IR Calculator'!C14+(176-0.5)*('IR Calculator'!C15-'IR Calculator'!C14)/MIN('IR Calculator'!C16,500))*0.000001)^5))/(EXP(MIN('IR Calculator'!$C$5*'IR Calculator'!$C$6/((('IR Calculator'!C14+(176-0.5)*('IR Calculator'!C15-'IR Calculator'!C14)/MIN('IR Calculator'!C16,500))*0.000001)*'IR Calculator'!$C$7*'IR Calculator'!$C$19),700))-1)*0.000001</f>
        <v>48.9458710291191</v>
      </c>
    </row>
    <row r="187" customFormat="false" ht="12.75" hidden="false" customHeight="true" outlineLevel="0" collapsed="false">
      <c r="B187" s="22" t="n">
        <v>177</v>
      </c>
      <c r="C187" s="23" t="n">
        <f aca="false">'IR Calculator'!C14+(177-0.5)*('IR Calculator'!C15-'IR Calculator'!C14)/MIN('IR Calculator'!C16,500)</f>
        <v>8.706</v>
      </c>
      <c r="D187" s="24" t="n">
        <f aca="false">('IR Calculator'!C15-'IR Calculator'!C14)/MIN('IR Calculator'!C16,500)</f>
        <v>0.004</v>
      </c>
      <c r="E187" s="25" t="n">
        <f aca="false">(2*'IR Calculator'!$C$5*'IR Calculator'!$C$6^2/((('IR Calculator'!C14+(177-0.5)*('IR Calculator'!C15-'IR Calculator'!C14)/MIN('IR Calculator'!C16,500))*0.000001)^5))/(EXP(MIN('IR Calculator'!$C$5*'IR Calculator'!$C$6/((('IR Calculator'!C14+(177-0.5)*('IR Calculator'!C15-'IR Calculator'!C14)/MIN('IR Calculator'!C16,500))*0.000001)*'IR Calculator'!$C$7*'IR Calculator'!$C$19),700))-1)*0.000001</f>
        <v>48.9230816632335</v>
      </c>
    </row>
    <row r="188" customFormat="false" ht="12.75" hidden="false" customHeight="true" outlineLevel="0" collapsed="false">
      <c r="B188" s="26" t="n">
        <v>178</v>
      </c>
      <c r="C188" s="27" t="n">
        <f aca="false">'IR Calculator'!C14+(178-0.5)*('IR Calculator'!C15-'IR Calculator'!C14)/MIN('IR Calculator'!C16,500)</f>
        <v>8.71</v>
      </c>
      <c r="D188" s="28" t="n">
        <f aca="false">('IR Calculator'!C15-'IR Calculator'!C14)/MIN('IR Calculator'!C16,500)</f>
        <v>0.004</v>
      </c>
      <c r="E188" s="29" t="n">
        <f aca="false">(2*'IR Calculator'!$C$5*'IR Calculator'!$C$6^2/((('IR Calculator'!C14+(178-0.5)*('IR Calculator'!C15-'IR Calculator'!C14)/MIN('IR Calculator'!C16,500))*0.000001)^5))/(EXP(MIN('IR Calculator'!$C$5*'IR Calculator'!$C$6/((('IR Calculator'!C14+(178-0.5)*('IR Calculator'!C15-'IR Calculator'!C14)/MIN('IR Calculator'!C16,500))*0.000001)*'IR Calculator'!$C$7*'IR Calculator'!$C$19),700))-1)*0.000001</f>
        <v>48.9002755349616</v>
      </c>
    </row>
    <row r="189" customFormat="false" ht="12.75" hidden="false" customHeight="true" outlineLevel="0" collapsed="false">
      <c r="B189" s="22" t="n">
        <v>179</v>
      </c>
      <c r="C189" s="23" t="n">
        <f aca="false">'IR Calculator'!C14+(179-0.5)*('IR Calculator'!C15-'IR Calculator'!C14)/MIN('IR Calculator'!C16,500)</f>
        <v>8.714</v>
      </c>
      <c r="D189" s="24" t="n">
        <f aca="false">('IR Calculator'!C15-'IR Calculator'!C14)/MIN('IR Calculator'!C16,500)</f>
        <v>0.004</v>
      </c>
      <c r="E189" s="25" t="n">
        <f aca="false">(2*'IR Calculator'!$C$5*'IR Calculator'!$C$6^2/((('IR Calculator'!C14+(179-0.5)*('IR Calculator'!C15-'IR Calculator'!C14)/MIN('IR Calculator'!C16,500))*0.000001)^5))/(EXP(MIN('IR Calculator'!$C$5*'IR Calculator'!$C$6/((('IR Calculator'!C14+(179-0.5)*('IR Calculator'!C15-'IR Calculator'!C14)/MIN('IR Calculator'!C16,500))*0.000001)*'IR Calculator'!$C$7*'IR Calculator'!$C$19),700))-1)*0.000001</f>
        <v>48.8774527406056</v>
      </c>
    </row>
    <row r="190" customFormat="false" ht="12.75" hidden="false" customHeight="true" outlineLevel="0" collapsed="false">
      <c r="B190" s="26" t="n">
        <v>180</v>
      </c>
      <c r="C190" s="27" t="n">
        <f aca="false">'IR Calculator'!C14+(180-0.5)*('IR Calculator'!C15-'IR Calculator'!C14)/MIN('IR Calculator'!C16,500)</f>
        <v>8.718</v>
      </c>
      <c r="D190" s="28" t="n">
        <f aca="false">('IR Calculator'!C15-'IR Calculator'!C14)/MIN('IR Calculator'!C16,500)</f>
        <v>0.004</v>
      </c>
      <c r="E190" s="29" t="n">
        <f aca="false">(2*'IR Calculator'!$C$5*'IR Calculator'!$C$6^2/((('IR Calculator'!C14+(180-0.5)*('IR Calculator'!C15-'IR Calculator'!C14)/MIN('IR Calculator'!C16,500))*0.000001)^5))/(EXP(MIN('IR Calculator'!$C$5*'IR Calculator'!$C$6/((('IR Calculator'!C14+(180-0.5)*('IR Calculator'!C15-'IR Calculator'!C14)/MIN('IR Calculator'!C16,500))*0.000001)*'IR Calculator'!$C$7*'IR Calculator'!$C$19),700))-1)*0.000001</f>
        <v>48.8546133762232</v>
      </c>
    </row>
    <row r="191" customFormat="false" ht="12.75" hidden="false" customHeight="true" outlineLevel="0" collapsed="false">
      <c r="B191" s="22" t="n">
        <v>181</v>
      </c>
      <c r="C191" s="23" t="n">
        <f aca="false">'IR Calculator'!C14+(181-0.5)*('IR Calculator'!C15-'IR Calculator'!C14)/MIN('IR Calculator'!C16,500)</f>
        <v>8.722</v>
      </c>
      <c r="D191" s="24" t="n">
        <f aca="false">('IR Calculator'!C15-'IR Calculator'!C14)/MIN('IR Calculator'!C16,500)</f>
        <v>0.004</v>
      </c>
      <c r="E191" s="25" t="n">
        <f aca="false">(2*'IR Calculator'!$C$5*'IR Calculator'!$C$6^2/((('IR Calculator'!C14+(181-0.5)*('IR Calculator'!C15-'IR Calculator'!C14)/MIN('IR Calculator'!C16,500))*0.000001)^5))/(EXP(MIN('IR Calculator'!$C$5*'IR Calculator'!$C$6/((('IR Calculator'!C14+(181-0.5)*('IR Calculator'!C15-'IR Calculator'!C14)/MIN('IR Calculator'!C16,500))*0.000001)*'IR Calculator'!$C$7*'IR Calculator'!$C$19),700))-1)*0.000001</f>
        <v>48.8317575376277</v>
      </c>
    </row>
    <row r="192" customFormat="false" ht="12.75" hidden="false" customHeight="true" outlineLevel="0" collapsed="false">
      <c r="B192" s="26" t="n">
        <v>182</v>
      </c>
      <c r="C192" s="27" t="n">
        <f aca="false">'IR Calculator'!C14+(182-0.5)*('IR Calculator'!C15-'IR Calculator'!C14)/MIN('IR Calculator'!C16,500)</f>
        <v>8.726</v>
      </c>
      <c r="D192" s="28" t="n">
        <f aca="false">('IR Calculator'!C15-'IR Calculator'!C14)/MIN('IR Calculator'!C16,500)</f>
        <v>0.004</v>
      </c>
      <c r="E192" s="29" t="n">
        <f aca="false">(2*'IR Calculator'!$C$5*'IR Calculator'!$C$6^2/((('IR Calculator'!C14+(182-0.5)*('IR Calculator'!C15-'IR Calculator'!C14)/MIN('IR Calculator'!C16,500))*0.000001)^5))/(EXP(MIN('IR Calculator'!$C$5*'IR Calculator'!$C$6/((('IR Calculator'!C14+(182-0.5)*('IR Calculator'!C15-'IR Calculator'!C14)/MIN('IR Calculator'!C16,500))*0.000001)*'IR Calculator'!$C$7*'IR Calculator'!$C$19),700))-1)*0.000001</f>
        <v>48.8088853203885</v>
      </c>
    </row>
    <row r="193" customFormat="false" ht="12.75" hidden="false" customHeight="true" outlineLevel="0" collapsed="false">
      <c r="B193" s="22" t="n">
        <v>183</v>
      </c>
      <c r="C193" s="23" t="n">
        <f aca="false">'IR Calculator'!C14+(183-0.5)*('IR Calculator'!C15-'IR Calculator'!C14)/MIN('IR Calculator'!C16,500)</f>
        <v>8.73</v>
      </c>
      <c r="D193" s="24" t="n">
        <f aca="false">('IR Calculator'!C15-'IR Calculator'!C14)/MIN('IR Calculator'!C16,500)</f>
        <v>0.004</v>
      </c>
      <c r="E193" s="25" t="n">
        <f aca="false">(2*'IR Calculator'!$C$5*'IR Calculator'!$C$6^2/((('IR Calculator'!C14+(183-0.5)*('IR Calculator'!C15-'IR Calculator'!C14)/MIN('IR Calculator'!C16,500))*0.000001)^5))/(EXP(MIN('IR Calculator'!$C$5*'IR Calculator'!$C$6/((('IR Calculator'!C14+(183-0.5)*('IR Calculator'!C15-'IR Calculator'!C14)/MIN('IR Calculator'!C16,500))*0.000001)*'IR Calculator'!$C$7*'IR Calculator'!$C$19),700))-1)*0.000001</f>
        <v>48.7859968198314</v>
      </c>
    </row>
    <row r="194" customFormat="false" ht="12.75" hidden="false" customHeight="true" outlineLevel="0" collapsed="false">
      <c r="B194" s="26" t="n">
        <v>184</v>
      </c>
      <c r="C194" s="27" t="n">
        <f aca="false">'IR Calculator'!C14+(184-0.5)*('IR Calculator'!C15-'IR Calculator'!C14)/MIN('IR Calculator'!C16,500)</f>
        <v>8.734</v>
      </c>
      <c r="D194" s="28" t="n">
        <f aca="false">('IR Calculator'!C15-'IR Calculator'!C14)/MIN('IR Calculator'!C16,500)</f>
        <v>0.004</v>
      </c>
      <c r="E194" s="29" t="n">
        <f aca="false">(2*'IR Calculator'!$C$5*'IR Calculator'!$C$6^2/((('IR Calculator'!C14+(184-0.5)*('IR Calculator'!C15-'IR Calculator'!C14)/MIN('IR Calculator'!C16,500))*0.000001)^5))/(EXP(MIN('IR Calculator'!$C$5*'IR Calculator'!$C$6/((('IR Calculator'!C14+(184-0.5)*('IR Calculator'!C15-'IR Calculator'!C14)/MIN('IR Calculator'!C16,500))*0.000001)*'IR Calculator'!$C$7*'IR Calculator'!$C$19),700))-1)*0.000001</f>
        <v>48.7630921310391</v>
      </c>
    </row>
    <row r="195" customFormat="false" ht="12.75" hidden="false" customHeight="true" outlineLevel="0" collapsed="false">
      <c r="B195" s="22" t="n">
        <v>185</v>
      </c>
      <c r="C195" s="23" t="n">
        <f aca="false">'IR Calculator'!C14+(185-0.5)*('IR Calculator'!C15-'IR Calculator'!C14)/MIN('IR Calculator'!C16,500)</f>
        <v>8.738</v>
      </c>
      <c r="D195" s="24" t="n">
        <f aca="false">('IR Calculator'!C15-'IR Calculator'!C14)/MIN('IR Calculator'!C16,500)</f>
        <v>0.004</v>
      </c>
      <c r="E195" s="25" t="n">
        <f aca="false">(2*'IR Calculator'!$C$5*'IR Calculator'!$C$6^2/((('IR Calculator'!C14+(185-0.5)*('IR Calculator'!C15-'IR Calculator'!C14)/MIN('IR Calculator'!C16,500))*0.000001)^5))/(EXP(MIN('IR Calculator'!$C$5*'IR Calculator'!$C$6/((('IR Calculator'!C14+(185-0.5)*('IR Calculator'!C15-'IR Calculator'!C14)/MIN('IR Calculator'!C16,500))*0.000001)*'IR Calculator'!$C$7*'IR Calculator'!$C$19),700))-1)*0.000001</f>
        <v>48.7401713488515</v>
      </c>
    </row>
    <row r="196" customFormat="false" ht="12.75" hidden="false" customHeight="true" outlineLevel="0" collapsed="false">
      <c r="B196" s="26" t="n">
        <v>186</v>
      </c>
      <c r="C196" s="27" t="n">
        <f aca="false">'IR Calculator'!C14+(186-0.5)*('IR Calculator'!C15-'IR Calculator'!C14)/MIN('IR Calculator'!C16,500)</f>
        <v>8.742</v>
      </c>
      <c r="D196" s="28" t="n">
        <f aca="false">('IR Calculator'!C15-'IR Calculator'!C14)/MIN('IR Calculator'!C16,500)</f>
        <v>0.004</v>
      </c>
      <c r="E196" s="29" t="n">
        <f aca="false">(2*'IR Calculator'!$C$5*'IR Calculator'!$C$6^2/((('IR Calculator'!C14+(186-0.5)*('IR Calculator'!C15-'IR Calculator'!C14)/MIN('IR Calculator'!C16,500))*0.000001)^5))/(EXP(MIN('IR Calculator'!$C$5*'IR Calculator'!$C$6/((('IR Calculator'!C14+(186-0.5)*('IR Calculator'!C15-'IR Calculator'!C14)/MIN('IR Calculator'!C16,500))*0.000001)*'IR Calculator'!$C$7*'IR Calculator'!$C$19),700))-1)*0.000001</f>
        <v>48.7172345678663</v>
      </c>
    </row>
    <row r="197" customFormat="false" ht="12.75" hidden="false" customHeight="true" outlineLevel="0" collapsed="false">
      <c r="B197" s="22" t="n">
        <v>187</v>
      </c>
      <c r="C197" s="23" t="n">
        <f aca="false">'IR Calculator'!C14+(187-0.5)*('IR Calculator'!C15-'IR Calculator'!C14)/MIN('IR Calculator'!C16,500)</f>
        <v>8.746</v>
      </c>
      <c r="D197" s="24" t="n">
        <f aca="false">('IR Calculator'!C15-'IR Calculator'!C14)/MIN('IR Calculator'!C16,500)</f>
        <v>0.004</v>
      </c>
      <c r="E197" s="25" t="n">
        <f aca="false">(2*'IR Calculator'!$C$5*'IR Calculator'!$C$6^2/((('IR Calculator'!C14+(187-0.5)*('IR Calculator'!C15-'IR Calculator'!C14)/MIN('IR Calculator'!C16,500))*0.000001)^5))/(EXP(MIN('IR Calculator'!$C$5*'IR Calculator'!$C$6/((('IR Calculator'!C14+(187-0.5)*('IR Calculator'!C15-'IR Calculator'!C14)/MIN('IR Calculator'!C16,500))*0.000001)*'IR Calculator'!$C$7*'IR Calculator'!$C$19),700))-1)*0.000001</f>
        <v>48.6942818824388</v>
      </c>
    </row>
    <row r="198" customFormat="false" ht="12.75" hidden="false" customHeight="true" outlineLevel="0" collapsed="false">
      <c r="B198" s="26" t="n">
        <v>188</v>
      </c>
      <c r="C198" s="27" t="n">
        <f aca="false">'IR Calculator'!C14+(188-0.5)*('IR Calculator'!C15-'IR Calculator'!C14)/MIN('IR Calculator'!C16,500)</f>
        <v>8.75</v>
      </c>
      <c r="D198" s="28" t="n">
        <f aca="false">('IR Calculator'!C15-'IR Calculator'!C14)/MIN('IR Calculator'!C16,500)</f>
        <v>0.004</v>
      </c>
      <c r="E198" s="29" t="n">
        <f aca="false">(2*'IR Calculator'!$C$5*'IR Calculator'!$C$6^2/((('IR Calculator'!C14+(188-0.5)*('IR Calculator'!C15-'IR Calculator'!C14)/MIN('IR Calculator'!C16,500))*0.000001)^5))/(EXP(MIN('IR Calculator'!$C$5*'IR Calculator'!$C$6/((('IR Calculator'!C14+(188-0.5)*('IR Calculator'!C15-'IR Calculator'!C14)/MIN('IR Calculator'!C16,500))*0.000001)*'IR Calculator'!$C$7*'IR Calculator'!$C$19),700))-1)*0.000001</f>
        <v>48.6713133866831</v>
      </c>
    </row>
    <row r="199" customFormat="false" ht="12.75" hidden="false" customHeight="true" outlineLevel="0" collapsed="false">
      <c r="B199" s="22" t="n">
        <v>189</v>
      </c>
      <c r="C199" s="23" t="n">
        <f aca="false">'IR Calculator'!C14+(189-0.5)*('IR Calculator'!C15-'IR Calculator'!C14)/MIN('IR Calculator'!C16,500)</f>
        <v>8.754</v>
      </c>
      <c r="D199" s="24" t="n">
        <f aca="false">('IR Calculator'!C15-'IR Calculator'!C14)/MIN('IR Calculator'!C16,500)</f>
        <v>0.004</v>
      </c>
      <c r="E199" s="25" t="n">
        <f aca="false">(2*'IR Calculator'!$C$5*'IR Calculator'!$C$6^2/((('IR Calculator'!C14+(189-0.5)*('IR Calculator'!C15-'IR Calculator'!C14)/MIN('IR Calculator'!C16,500))*0.000001)^5))/(EXP(MIN('IR Calculator'!$C$5*'IR Calculator'!$C$6/((('IR Calculator'!C14+(189-0.5)*('IR Calculator'!C15-'IR Calculator'!C14)/MIN('IR Calculator'!C16,500))*0.000001)*'IR Calculator'!$C$7*'IR Calculator'!$C$19),700))-1)*0.000001</f>
        <v>48.6483291744719</v>
      </c>
    </row>
    <row r="200" customFormat="false" ht="12.75" hidden="false" customHeight="true" outlineLevel="0" collapsed="false">
      <c r="B200" s="26" t="n">
        <v>190</v>
      </c>
      <c r="C200" s="27" t="n">
        <f aca="false">'IR Calculator'!C14+(190-0.5)*('IR Calculator'!C15-'IR Calculator'!C14)/MIN('IR Calculator'!C16,500)</f>
        <v>8.758</v>
      </c>
      <c r="D200" s="28" t="n">
        <f aca="false">('IR Calculator'!C15-'IR Calculator'!C14)/MIN('IR Calculator'!C16,500)</f>
        <v>0.004</v>
      </c>
      <c r="E200" s="29" t="n">
        <f aca="false">(2*'IR Calculator'!$C$5*'IR Calculator'!$C$6^2/((('IR Calculator'!C14+(190-0.5)*('IR Calculator'!C15-'IR Calculator'!C14)/MIN('IR Calculator'!C16,500))*0.000001)^5))/(EXP(MIN('IR Calculator'!$C$5*'IR Calculator'!$C$6/((('IR Calculator'!C14+(190-0.5)*('IR Calculator'!C15-'IR Calculator'!C14)/MIN('IR Calculator'!C16,500))*0.000001)*'IR Calculator'!$C$7*'IR Calculator'!$C$19),700))-1)*0.000001</f>
        <v>48.6253293394371</v>
      </c>
    </row>
    <row r="201" customFormat="false" ht="12.75" hidden="false" customHeight="true" outlineLevel="0" collapsed="false">
      <c r="B201" s="22" t="n">
        <v>191</v>
      </c>
      <c r="C201" s="23" t="n">
        <f aca="false">'IR Calculator'!C14+(191-0.5)*('IR Calculator'!C15-'IR Calculator'!C14)/MIN('IR Calculator'!C16,500)</f>
        <v>8.762</v>
      </c>
      <c r="D201" s="24" t="n">
        <f aca="false">('IR Calculator'!C15-'IR Calculator'!C14)/MIN('IR Calculator'!C16,500)</f>
        <v>0.004</v>
      </c>
      <c r="E201" s="25" t="n">
        <f aca="false">(2*'IR Calculator'!$C$5*'IR Calculator'!$C$6^2/((('IR Calculator'!C14+(191-0.5)*('IR Calculator'!C15-'IR Calculator'!C14)/MIN('IR Calculator'!C16,500))*0.000001)^5))/(EXP(MIN('IR Calculator'!$C$5*'IR Calculator'!$C$6/((('IR Calculator'!C14+(191-0.5)*('IR Calculator'!C15-'IR Calculator'!C14)/MIN('IR Calculator'!C16,500))*0.000001)*'IR Calculator'!$C$7*'IR Calculator'!$C$19),700))-1)*0.000001</f>
        <v>48.60231397497</v>
      </c>
    </row>
    <row r="202" customFormat="false" ht="12.75" hidden="false" customHeight="true" outlineLevel="0" collapsed="false">
      <c r="B202" s="26" t="n">
        <v>192</v>
      </c>
      <c r="C202" s="27" t="n">
        <f aca="false">'IR Calculator'!C14+(192-0.5)*('IR Calculator'!C15-'IR Calculator'!C14)/MIN('IR Calculator'!C16,500)</f>
        <v>8.766</v>
      </c>
      <c r="D202" s="28" t="n">
        <f aca="false">('IR Calculator'!C15-'IR Calculator'!C14)/MIN('IR Calculator'!C16,500)</f>
        <v>0.004</v>
      </c>
      <c r="E202" s="29" t="n">
        <f aca="false">(2*'IR Calculator'!$C$5*'IR Calculator'!$C$6^2/((('IR Calculator'!C14+(192-0.5)*('IR Calculator'!C15-'IR Calculator'!C14)/MIN('IR Calculator'!C16,500))*0.000001)^5))/(EXP(MIN('IR Calculator'!$C$5*'IR Calculator'!$C$6/((('IR Calculator'!C14+(192-0.5)*('IR Calculator'!C15-'IR Calculator'!C14)/MIN('IR Calculator'!C16,500))*0.000001)*'IR Calculator'!$C$7*'IR Calculator'!$C$19),700))-1)*0.000001</f>
        <v>48.579283174222</v>
      </c>
    </row>
    <row r="203" customFormat="false" ht="12.75" hidden="false" customHeight="true" outlineLevel="0" collapsed="false">
      <c r="B203" s="22" t="n">
        <v>193</v>
      </c>
      <c r="C203" s="23" t="n">
        <f aca="false">'IR Calculator'!C14+(193-0.5)*('IR Calculator'!C15-'IR Calculator'!C14)/MIN('IR Calculator'!C16,500)</f>
        <v>8.77</v>
      </c>
      <c r="D203" s="24" t="n">
        <f aca="false">('IR Calculator'!C15-'IR Calculator'!C14)/MIN('IR Calculator'!C16,500)</f>
        <v>0.004</v>
      </c>
      <c r="E203" s="25" t="n">
        <f aca="false">(2*'IR Calculator'!$C$5*'IR Calculator'!$C$6^2/((('IR Calculator'!C14+(193-0.5)*('IR Calculator'!C15-'IR Calculator'!C14)/MIN('IR Calculator'!C16,500))*0.000001)^5))/(EXP(MIN('IR Calculator'!$C$5*'IR Calculator'!$C$6/((('IR Calculator'!C14+(193-0.5)*('IR Calculator'!C15-'IR Calculator'!C14)/MIN('IR Calculator'!C16,500))*0.000001)*'IR Calculator'!$C$7*'IR Calculator'!$C$19),700))-1)*0.000001</f>
        <v>48.5562370301048</v>
      </c>
    </row>
    <row r="204" customFormat="false" ht="12.75" hidden="false" customHeight="true" outlineLevel="0" collapsed="false">
      <c r="B204" s="26" t="n">
        <v>194</v>
      </c>
      <c r="C204" s="27" t="n">
        <f aca="false">'IR Calculator'!C14+(194-0.5)*('IR Calculator'!C15-'IR Calculator'!C14)/MIN('IR Calculator'!C16,500)</f>
        <v>8.774</v>
      </c>
      <c r="D204" s="28" t="n">
        <f aca="false">('IR Calculator'!C15-'IR Calculator'!C14)/MIN('IR Calculator'!C16,500)</f>
        <v>0.004</v>
      </c>
      <c r="E204" s="29" t="n">
        <f aca="false">(2*'IR Calculator'!$C$5*'IR Calculator'!$C$6^2/((('IR Calculator'!C14+(194-0.5)*('IR Calculator'!C15-'IR Calculator'!C14)/MIN('IR Calculator'!C16,500))*0.000001)^5))/(EXP(MIN('IR Calculator'!$C$5*'IR Calculator'!$C$6/((('IR Calculator'!C14+(194-0.5)*('IR Calculator'!C15-'IR Calculator'!C14)/MIN('IR Calculator'!C16,500))*0.000001)*'IR Calculator'!$C$7*'IR Calculator'!$C$19),700))-1)*0.000001</f>
        <v>48.5331756352908</v>
      </c>
    </row>
    <row r="205" customFormat="false" ht="12.75" hidden="false" customHeight="true" outlineLevel="0" collapsed="false">
      <c r="B205" s="22" t="n">
        <v>195</v>
      </c>
      <c r="C205" s="23" t="n">
        <f aca="false">'IR Calculator'!C14+(195-0.5)*('IR Calculator'!C15-'IR Calculator'!C14)/MIN('IR Calculator'!C16,500)</f>
        <v>8.778</v>
      </c>
      <c r="D205" s="24" t="n">
        <f aca="false">('IR Calculator'!C15-'IR Calculator'!C14)/MIN('IR Calculator'!C16,500)</f>
        <v>0.004</v>
      </c>
      <c r="E205" s="25" t="n">
        <f aca="false">(2*'IR Calculator'!$C$5*'IR Calculator'!$C$6^2/((('IR Calculator'!C14+(195-0.5)*('IR Calculator'!C15-'IR Calculator'!C14)/MIN('IR Calculator'!C16,500))*0.000001)^5))/(EXP(MIN('IR Calculator'!$C$5*'IR Calculator'!$C$6/((('IR Calculator'!C14+(195-0.5)*('IR Calculator'!C15-'IR Calculator'!C14)/MIN('IR Calculator'!C16,500))*0.000001)*'IR Calculator'!$C$7*'IR Calculator'!$C$19),700))-1)*0.000001</f>
        <v>48.5100990822134</v>
      </c>
    </row>
    <row r="206" customFormat="false" ht="12.75" hidden="false" customHeight="true" outlineLevel="0" collapsed="false">
      <c r="B206" s="26" t="n">
        <v>196</v>
      </c>
      <c r="C206" s="27" t="n">
        <f aca="false">'IR Calculator'!C14+(196-0.5)*('IR Calculator'!C15-'IR Calculator'!C14)/MIN('IR Calculator'!C16,500)</f>
        <v>8.782</v>
      </c>
      <c r="D206" s="28" t="n">
        <f aca="false">('IR Calculator'!C15-'IR Calculator'!C14)/MIN('IR Calculator'!C16,500)</f>
        <v>0.004</v>
      </c>
      <c r="E206" s="29" t="n">
        <f aca="false">(2*'IR Calculator'!$C$5*'IR Calculator'!$C$6^2/((('IR Calculator'!C14+(196-0.5)*('IR Calculator'!C15-'IR Calculator'!C14)/MIN('IR Calculator'!C16,500))*0.000001)^5))/(EXP(MIN('IR Calculator'!$C$5*'IR Calculator'!$C$6/((('IR Calculator'!C14+(196-0.5)*('IR Calculator'!C15-'IR Calculator'!C14)/MIN('IR Calculator'!C16,500))*0.000001)*'IR Calculator'!$C$7*'IR Calculator'!$C$19),700))-1)*0.000001</f>
        <v>48.4870074630678</v>
      </c>
    </row>
    <row r="207" customFormat="false" ht="12.75" hidden="false" customHeight="true" outlineLevel="0" collapsed="false">
      <c r="B207" s="22" t="n">
        <v>197</v>
      </c>
      <c r="C207" s="23" t="n">
        <f aca="false">'IR Calculator'!C14+(197-0.5)*('IR Calculator'!C15-'IR Calculator'!C14)/MIN('IR Calculator'!C16,500)</f>
        <v>8.786</v>
      </c>
      <c r="D207" s="24" t="n">
        <f aca="false">('IR Calculator'!C15-'IR Calculator'!C14)/MIN('IR Calculator'!C16,500)</f>
        <v>0.004</v>
      </c>
      <c r="E207" s="25" t="n">
        <f aca="false">(2*'IR Calculator'!$C$5*'IR Calculator'!$C$6^2/((('IR Calculator'!C14+(197-0.5)*('IR Calculator'!C15-'IR Calculator'!C14)/MIN('IR Calculator'!C16,500))*0.000001)^5))/(EXP(MIN('IR Calculator'!$C$5*'IR Calculator'!$C$6/((('IR Calculator'!C14+(197-0.5)*('IR Calculator'!C15-'IR Calculator'!C14)/MIN('IR Calculator'!C16,500))*0.000001)*'IR Calculator'!$C$7*'IR Calculator'!$C$19),700))-1)*0.000001</f>
        <v>48.4639008698106</v>
      </c>
    </row>
    <row r="208" customFormat="false" ht="12.75" hidden="false" customHeight="true" outlineLevel="0" collapsed="false">
      <c r="B208" s="26" t="n">
        <v>198</v>
      </c>
      <c r="C208" s="27" t="n">
        <f aca="false">'IR Calculator'!C14+(198-0.5)*('IR Calculator'!C15-'IR Calculator'!C14)/MIN('IR Calculator'!C16,500)</f>
        <v>8.79</v>
      </c>
      <c r="D208" s="28" t="n">
        <f aca="false">('IR Calculator'!C15-'IR Calculator'!C14)/MIN('IR Calculator'!C16,500)</f>
        <v>0.004</v>
      </c>
      <c r="E208" s="29" t="n">
        <f aca="false">(2*'IR Calculator'!$C$5*'IR Calculator'!$C$6^2/((('IR Calculator'!C14+(198-0.5)*('IR Calculator'!C15-'IR Calculator'!C14)/MIN('IR Calculator'!C16,500))*0.000001)^5))/(EXP(MIN('IR Calculator'!$C$5*'IR Calculator'!$C$6/((('IR Calculator'!C14+(198-0.5)*('IR Calculator'!C15-'IR Calculator'!C14)/MIN('IR Calculator'!C16,500))*0.000001)*'IR Calculator'!$C$7*'IR Calculator'!$C$19),700))-1)*0.000001</f>
        <v>48.440779394161</v>
      </c>
    </row>
    <row r="209" customFormat="false" ht="12.75" hidden="false" customHeight="true" outlineLevel="0" collapsed="false">
      <c r="B209" s="22" t="n">
        <v>199</v>
      </c>
      <c r="C209" s="23" t="n">
        <f aca="false">'IR Calculator'!C14+(199-0.5)*('IR Calculator'!C15-'IR Calculator'!C14)/MIN('IR Calculator'!C16,500)</f>
        <v>8.794</v>
      </c>
      <c r="D209" s="24" t="n">
        <f aca="false">('IR Calculator'!C15-'IR Calculator'!C14)/MIN('IR Calculator'!C16,500)</f>
        <v>0.004</v>
      </c>
      <c r="E209" s="25" t="n">
        <f aca="false">(2*'IR Calculator'!$C$5*'IR Calculator'!$C$6^2/((('IR Calculator'!C14+(199-0.5)*('IR Calculator'!C15-'IR Calculator'!C14)/MIN('IR Calculator'!C16,500))*0.000001)^5))/(EXP(MIN('IR Calculator'!$C$5*'IR Calculator'!$C$6/((('IR Calculator'!C14+(199-0.5)*('IR Calculator'!C15-'IR Calculator'!C14)/MIN('IR Calculator'!C16,500))*0.000001)*'IR Calculator'!$C$7*'IR Calculator'!$C$19),700))-1)*0.000001</f>
        <v>48.4176431276008</v>
      </c>
    </row>
    <row r="210" customFormat="false" ht="12.75" hidden="false" customHeight="true" outlineLevel="0" collapsed="false">
      <c r="B210" s="26" t="n">
        <v>200</v>
      </c>
      <c r="C210" s="27" t="n">
        <f aca="false">'IR Calculator'!C14+(200-0.5)*('IR Calculator'!C15-'IR Calculator'!C14)/MIN('IR Calculator'!C16,500)</f>
        <v>8.798</v>
      </c>
      <c r="D210" s="28" t="n">
        <f aca="false">('IR Calculator'!C15-'IR Calculator'!C14)/MIN('IR Calculator'!C16,500)</f>
        <v>0.004</v>
      </c>
      <c r="E210" s="29" t="n">
        <f aca="false">(2*'IR Calculator'!$C$5*'IR Calculator'!$C$6^2/((('IR Calculator'!C14+(200-0.5)*('IR Calculator'!C15-'IR Calculator'!C14)/MIN('IR Calculator'!C16,500))*0.000001)^5))/(EXP(MIN('IR Calculator'!$C$5*'IR Calculator'!$C$6/((('IR Calculator'!C14+(200-0.5)*('IR Calculator'!C15-'IR Calculator'!C14)/MIN('IR Calculator'!C16,500))*0.000001)*'IR Calculator'!$C$7*'IR Calculator'!$C$19),700))-1)*0.000001</f>
        <v>48.3944921613748</v>
      </c>
    </row>
    <row r="211" customFormat="false" ht="12.75" hidden="false" customHeight="true" outlineLevel="0" collapsed="false">
      <c r="B211" s="22" t="n">
        <v>201</v>
      </c>
      <c r="C211" s="23" t="n">
        <f aca="false">'IR Calculator'!C14+(201-0.5)*('IR Calculator'!C15-'IR Calculator'!C14)/MIN('IR Calculator'!C16,500)</f>
        <v>8.802</v>
      </c>
      <c r="D211" s="24" t="n">
        <f aca="false">('IR Calculator'!C15-'IR Calculator'!C14)/MIN('IR Calculator'!C16,500)</f>
        <v>0.004</v>
      </c>
      <c r="E211" s="25" t="n">
        <f aca="false">(2*'IR Calculator'!$C$5*'IR Calculator'!$C$6^2/((('IR Calculator'!C14+(201-0.5)*('IR Calculator'!C15-'IR Calculator'!C14)/MIN('IR Calculator'!C16,500))*0.000001)^5))/(EXP(MIN('IR Calculator'!$C$5*'IR Calculator'!$C$6/((('IR Calculator'!C14+(201-0.5)*('IR Calculator'!C15-'IR Calculator'!C14)/MIN('IR Calculator'!C16,500))*0.000001)*'IR Calculator'!$C$7*'IR Calculator'!$C$19),700))-1)*0.000001</f>
        <v>48.3713265864912</v>
      </c>
    </row>
    <row r="212" customFormat="false" ht="12.75" hidden="false" customHeight="true" outlineLevel="0" collapsed="false">
      <c r="B212" s="26" t="n">
        <v>202</v>
      </c>
      <c r="C212" s="27" t="n">
        <f aca="false">'IR Calculator'!C14+(202-0.5)*('IR Calculator'!C15-'IR Calculator'!C14)/MIN('IR Calculator'!C16,500)</f>
        <v>8.806</v>
      </c>
      <c r="D212" s="28" t="n">
        <f aca="false">('IR Calculator'!C15-'IR Calculator'!C14)/MIN('IR Calculator'!C16,500)</f>
        <v>0.004</v>
      </c>
      <c r="E212" s="29" t="n">
        <f aca="false">(2*'IR Calculator'!$C$5*'IR Calculator'!$C$6^2/((('IR Calculator'!C14+(202-0.5)*('IR Calculator'!C15-'IR Calculator'!C14)/MIN('IR Calculator'!C16,500))*0.000001)^5))/(EXP(MIN('IR Calculator'!$C$5*'IR Calculator'!$C$6/((('IR Calculator'!C14+(202-0.5)*('IR Calculator'!C15-'IR Calculator'!C14)/MIN('IR Calculator'!C16,500))*0.000001)*'IR Calculator'!$C$7*'IR Calculator'!$C$19),700))-1)*0.000001</f>
        <v>48.3481464937222</v>
      </c>
    </row>
    <row r="213" customFormat="false" ht="12.75" hidden="false" customHeight="true" outlineLevel="0" collapsed="false">
      <c r="B213" s="22" t="n">
        <v>203</v>
      </c>
      <c r="C213" s="23" t="n">
        <f aca="false">'IR Calculator'!C14+(203-0.5)*('IR Calculator'!C15-'IR Calculator'!C14)/MIN('IR Calculator'!C16,500)</f>
        <v>8.81</v>
      </c>
      <c r="D213" s="24" t="n">
        <f aca="false">('IR Calculator'!C15-'IR Calculator'!C14)/MIN('IR Calculator'!C16,500)</f>
        <v>0.004</v>
      </c>
      <c r="E213" s="25" t="n">
        <f aca="false">(2*'IR Calculator'!$C$5*'IR Calculator'!$C$6^2/((('IR Calculator'!C14+(203-0.5)*('IR Calculator'!C15-'IR Calculator'!C14)/MIN('IR Calculator'!C16,500))*0.000001)^5))/(EXP(MIN('IR Calculator'!$C$5*'IR Calculator'!$C$6/((('IR Calculator'!C14+(203-0.5)*('IR Calculator'!C15-'IR Calculator'!C14)/MIN('IR Calculator'!C16,500))*0.000001)*'IR Calculator'!$C$7*'IR Calculator'!$C$19),700))-1)*0.000001</f>
        <v>48.3249519736039</v>
      </c>
    </row>
    <row r="214" customFormat="false" ht="12.75" hidden="false" customHeight="true" outlineLevel="0" collapsed="false">
      <c r="B214" s="26" t="n">
        <v>204</v>
      </c>
      <c r="C214" s="27" t="n">
        <f aca="false">'IR Calculator'!C14+(204-0.5)*('IR Calculator'!C15-'IR Calculator'!C14)/MIN('IR Calculator'!C16,500)</f>
        <v>8.814</v>
      </c>
      <c r="D214" s="28" t="n">
        <f aca="false">('IR Calculator'!C15-'IR Calculator'!C14)/MIN('IR Calculator'!C16,500)</f>
        <v>0.004</v>
      </c>
      <c r="E214" s="29" t="n">
        <f aca="false">(2*'IR Calculator'!$C$5*'IR Calculator'!$C$6^2/((('IR Calculator'!C14+(204-0.5)*('IR Calculator'!C15-'IR Calculator'!C14)/MIN('IR Calculator'!C16,500))*0.000001)^5))/(EXP(MIN('IR Calculator'!$C$5*'IR Calculator'!$C$6/((('IR Calculator'!C14+(204-0.5)*('IR Calculator'!C15-'IR Calculator'!C14)/MIN('IR Calculator'!C16,500))*0.000001)*'IR Calculator'!$C$7*'IR Calculator'!$C$19),700))-1)*0.000001</f>
        <v>48.3017431164372</v>
      </c>
    </row>
    <row r="215" customFormat="false" ht="12.75" hidden="false" customHeight="true" outlineLevel="0" collapsed="false">
      <c r="B215" s="22" t="n">
        <v>205</v>
      </c>
      <c r="C215" s="23" t="n">
        <f aca="false">'IR Calculator'!C14+(205-0.5)*('IR Calculator'!C15-'IR Calculator'!C14)/MIN('IR Calculator'!C16,500)</f>
        <v>8.818</v>
      </c>
      <c r="D215" s="24" t="n">
        <f aca="false">('IR Calculator'!C15-'IR Calculator'!C14)/MIN('IR Calculator'!C16,500)</f>
        <v>0.004</v>
      </c>
      <c r="E215" s="25" t="n">
        <f aca="false">(2*'IR Calculator'!$C$5*'IR Calculator'!$C$6^2/((('IR Calculator'!C14+(205-0.5)*('IR Calculator'!C15-'IR Calculator'!C14)/MIN('IR Calculator'!C16,500))*0.000001)^5))/(EXP(MIN('IR Calculator'!$C$5*'IR Calculator'!$C$6/((('IR Calculator'!C14+(205-0.5)*('IR Calculator'!C15-'IR Calculator'!C14)/MIN('IR Calculator'!C16,500))*0.000001)*'IR Calculator'!$C$7*'IR Calculator'!$C$19),700))-1)*0.000001</f>
        <v>48.278520012288</v>
      </c>
    </row>
    <row r="216" customFormat="false" ht="12.75" hidden="false" customHeight="true" outlineLevel="0" collapsed="false">
      <c r="B216" s="26" t="n">
        <v>206</v>
      </c>
      <c r="C216" s="27" t="n">
        <f aca="false">'IR Calculator'!C14+(206-0.5)*('IR Calculator'!C15-'IR Calculator'!C14)/MIN('IR Calculator'!C16,500)</f>
        <v>8.822</v>
      </c>
      <c r="D216" s="28" t="n">
        <f aca="false">('IR Calculator'!C15-'IR Calculator'!C14)/MIN('IR Calculator'!C16,500)</f>
        <v>0.004</v>
      </c>
      <c r="E216" s="29" t="n">
        <f aca="false">(2*'IR Calculator'!$C$5*'IR Calculator'!$C$6^2/((('IR Calculator'!C14+(206-0.5)*('IR Calculator'!C15-'IR Calculator'!C14)/MIN('IR Calculator'!C16,500))*0.000001)^5))/(EXP(MIN('IR Calculator'!$C$5*'IR Calculator'!$C$6/((('IR Calculator'!C14+(206-0.5)*('IR Calculator'!C15-'IR Calculator'!C14)/MIN('IR Calculator'!C16,500))*0.000001)*'IR Calculator'!$C$7*'IR Calculator'!$C$19),700))-1)*0.000001</f>
        <v>48.2552827509876</v>
      </c>
    </row>
    <row r="217" customFormat="false" ht="12.75" hidden="false" customHeight="true" outlineLevel="0" collapsed="false">
      <c r="B217" s="22" t="n">
        <v>207</v>
      </c>
      <c r="C217" s="23" t="n">
        <f aca="false">'IR Calculator'!C14+(207-0.5)*('IR Calculator'!C15-'IR Calculator'!C14)/MIN('IR Calculator'!C16,500)</f>
        <v>8.826</v>
      </c>
      <c r="D217" s="24" t="n">
        <f aca="false">('IR Calculator'!C15-'IR Calculator'!C14)/MIN('IR Calculator'!C16,500)</f>
        <v>0.004</v>
      </c>
      <c r="E217" s="25" t="n">
        <f aca="false">(2*'IR Calculator'!$C$5*'IR Calculator'!$C$6^2/((('IR Calculator'!C14+(207-0.5)*('IR Calculator'!C15-'IR Calculator'!C14)/MIN('IR Calculator'!C16,500))*0.000001)^5))/(EXP(MIN('IR Calculator'!$C$5*'IR Calculator'!$C$6/((('IR Calculator'!C14+(207-0.5)*('IR Calculator'!C15-'IR Calculator'!C14)/MIN('IR Calculator'!C16,500))*0.000001)*'IR Calculator'!$C$7*'IR Calculator'!$C$19),700))-1)*0.000001</f>
        <v>48.232031422133</v>
      </c>
    </row>
    <row r="218" customFormat="false" ht="12.75" hidden="false" customHeight="true" outlineLevel="0" collapsed="false">
      <c r="B218" s="26" t="n">
        <v>208</v>
      </c>
      <c r="C218" s="27" t="n">
        <f aca="false">'IR Calculator'!C14+(208-0.5)*('IR Calculator'!C15-'IR Calculator'!C14)/MIN('IR Calculator'!C16,500)</f>
        <v>8.83</v>
      </c>
      <c r="D218" s="28" t="n">
        <f aca="false">('IR Calculator'!C15-'IR Calculator'!C14)/MIN('IR Calculator'!C16,500)</f>
        <v>0.004</v>
      </c>
      <c r="E218" s="29" t="n">
        <f aca="false">(2*'IR Calculator'!$C$5*'IR Calculator'!$C$6^2/((('IR Calculator'!C14+(208-0.5)*('IR Calculator'!C15-'IR Calculator'!C14)/MIN('IR Calculator'!C16,500))*0.000001)^5))/(EXP(MIN('IR Calculator'!$C$5*'IR Calculator'!$C$6/((('IR Calculator'!C14+(208-0.5)*('IR Calculator'!C15-'IR Calculator'!C14)/MIN('IR Calculator'!C16,500))*0.000001)*'IR Calculator'!$C$7*'IR Calculator'!$C$19),700))-1)*0.000001</f>
        <v>48.2087661150874</v>
      </c>
    </row>
    <row r="219" customFormat="false" ht="12.75" hidden="false" customHeight="true" outlineLevel="0" collapsed="false">
      <c r="B219" s="22" t="n">
        <v>209</v>
      </c>
      <c r="C219" s="23" t="n">
        <f aca="false">'IR Calculator'!C14+(209-0.5)*('IR Calculator'!C15-'IR Calculator'!C14)/MIN('IR Calculator'!C16,500)</f>
        <v>8.834</v>
      </c>
      <c r="D219" s="24" t="n">
        <f aca="false">('IR Calculator'!C15-'IR Calculator'!C14)/MIN('IR Calculator'!C16,500)</f>
        <v>0.004</v>
      </c>
      <c r="E219" s="25" t="n">
        <f aca="false">(2*'IR Calculator'!$C$5*'IR Calculator'!$C$6^2/((('IR Calculator'!C14+(209-0.5)*('IR Calculator'!C15-'IR Calculator'!C14)/MIN('IR Calculator'!C16,500))*0.000001)^5))/(EXP(MIN('IR Calculator'!$C$5*'IR Calculator'!$C$6/((('IR Calculator'!C14+(209-0.5)*('IR Calculator'!C15-'IR Calculator'!C14)/MIN('IR Calculator'!C16,500))*0.000001)*'IR Calculator'!$C$7*'IR Calculator'!$C$19),700))-1)*0.000001</f>
        <v>48.1854869189805</v>
      </c>
    </row>
    <row r="220" customFormat="false" ht="12.75" hidden="false" customHeight="true" outlineLevel="0" collapsed="false">
      <c r="B220" s="26" t="n">
        <v>210</v>
      </c>
      <c r="C220" s="27" t="n">
        <f aca="false">'IR Calculator'!C14+(210-0.5)*('IR Calculator'!C15-'IR Calculator'!C14)/MIN('IR Calculator'!C16,500)</f>
        <v>8.838</v>
      </c>
      <c r="D220" s="28" t="n">
        <f aca="false">('IR Calculator'!C15-'IR Calculator'!C14)/MIN('IR Calculator'!C16,500)</f>
        <v>0.004</v>
      </c>
      <c r="E220" s="29" t="n">
        <f aca="false">(2*'IR Calculator'!$C$5*'IR Calculator'!$C$6^2/((('IR Calculator'!C14+(210-0.5)*('IR Calculator'!C15-'IR Calculator'!C14)/MIN('IR Calculator'!C16,500))*0.000001)^5))/(EXP(MIN('IR Calculator'!$C$5*'IR Calculator'!$C$6/((('IR Calculator'!C14+(210-0.5)*('IR Calculator'!C15-'IR Calculator'!C14)/MIN('IR Calculator'!C16,500))*0.000001)*'IR Calculator'!$C$7*'IR Calculator'!$C$19),700))-1)*0.000001</f>
        <v>48.162193922709</v>
      </c>
    </row>
    <row r="221" customFormat="false" ht="12.75" hidden="false" customHeight="true" outlineLevel="0" collapsed="false">
      <c r="B221" s="22" t="n">
        <v>211</v>
      </c>
      <c r="C221" s="23" t="n">
        <f aca="false">'IR Calculator'!C14+(211-0.5)*('IR Calculator'!C15-'IR Calculator'!C14)/MIN('IR Calculator'!C16,500)</f>
        <v>8.842</v>
      </c>
      <c r="D221" s="24" t="n">
        <f aca="false">('IR Calculator'!C15-'IR Calculator'!C14)/MIN('IR Calculator'!C16,500)</f>
        <v>0.004</v>
      </c>
      <c r="E221" s="25" t="n">
        <f aca="false">(2*'IR Calculator'!$C$5*'IR Calculator'!$C$6^2/((('IR Calculator'!C14+(211-0.5)*('IR Calculator'!C15-'IR Calculator'!C14)/MIN('IR Calculator'!C16,500))*0.000001)^5))/(EXP(MIN('IR Calculator'!$C$5*'IR Calculator'!$C$6/((('IR Calculator'!C14+(211-0.5)*('IR Calculator'!C15-'IR Calculator'!C14)/MIN('IR Calculator'!C16,500))*0.000001)*'IR Calculator'!$C$7*'IR Calculator'!$C$19),700))-1)*0.000001</f>
        <v>48.138887214937</v>
      </c>
    </row>
    <row r="222" customFormat="false" ht="12.75" hidden="false" customHeight="true" outlineLevel="0" collapsed="false">
      <c r="B222" s="26" t="n">
        <v>212</v>
      </c>
      <c r="C222" s="27" t="n">
        <f aca="false">'IR Calculator'!C14+(212-0.5)*('IR Calculator'!C15-'IR Calculator'!C14)/MIN('IR Calculator'!C16,500)</f>
        <v>8.846</v>
      </c>
      <c r="D222" s="28" t="n">
        <f aca="false">('IR Calculator'!C15-'IR Calculator'!C14)/MIN('IR Calculator'!C16,500)</f>
        <v>0.004</v>
      </c>
      <c r="E222" s="29" t="n">
        <f aca="false">(2*'IR Calculator'!$C$5*'IR Calculator'!$C$6^2/((('IR Calculator'!C14+(212-0.5)*('IR Calculator'!C15-'IR Calculator'!C14)/MIN('IR Calculator'!C16,500))*0.000001)^5))/(EXP(MIN('IR Calculator'!$C$5*'IR Calculator'!$C$6/((('IR Calculator'!C14+(212-0.5)*('IR Calculator'!C15-'IR Calculator'!C14)/MIN('IR Calculator'!C16,500))*0.000001)*'IR Calculator'!$C$7*'IR Calculator'!$C$19),700))-1)*0.000001</f>
        <v>48.1155668840962</v>
      </c>
    </row>
    <row r="223" customFormat="false" ht="12.75" hidden="false" customHeight="true" outlineLevel="0" collapsed="false">
      <c r="B223" s="22" t="n">
        <v>213</v>
      </c>
      <c r="C223" s="23" t="n">
        <f aca="false">'IR Calculator'!C14+(213-0.5)*('IR Calculator'!C15-'IR Calculator'!C14)/MIN('IR Calculator'!C16,500)</f>
        <v>8.85</v>
      </c>
      <c r="D223" s="24" t="n">
        <f aca="false">('IR Calculator'!C15-'IR Calculator'!C14)/MIN('IR Calculator'!C16,500)</f>
        <v>0.004</v>
      </c>
      <c r="E223" s="25" t="n">
        <f aca="false">(2*'IR Calculator'!$C$5*'IR Calculator'!$C$6^2/((('IR Calculator'!C14+(213-0.5)*('IR Calculator'!C15-'IR Calculator'!C14)/MIN('IR Calculator'!C16,500))*0.000001)^5))/(EXP(MIN('IR Calculator'!$C$5*'IR Calculator'!$C$6/((('IR Calculator'!C14+(213-0.5)*('IR Calculator'!C15-'IR Calculator'!C14)/MIN('IR Calculator'!C16,500))*0.000001)*'IR Calculator'!$C$7*'IR Calculator'!$C$19),700))-1)*0.000001</f>
        <v>48.0922330183865</v>
      </c>
    </row>
    <row r="224" customFormat="false" ht="12.75" hidden="false" customHeight="true" outlineLevel="0" collapsed="false">
      <c r="B224" s="26" t="n">
        <v>214</v>
      </c>
      <c r="C224" s="27" t="n">
        <f aca="false">'IR Calculator'!C14+(214-0.5)*('IR Calculator'!C15-'IR Calculator'!C14)/MIN('IR Calculator'!C16,500)</f>
        <v>8.854</v>
      </c>
      <c r="D224" s="28" t="n">
        <f aca="false">('IR Calculator'!C15-'IR Calculator'!C14)/MIN('IR Calculator'!C16,500)</f>
        <v>0.004</v>
      </c>
      <c r="E224" s="29" t="n">
        <f aca="false">(2*'IR Calculator'!$C$5*'IR Calculator'!$C$6^2/((('IR Calculator'!C14+(214-0.5)*('IR Calculator'!C15-'IR Calculator'!C14)/MIN('IR Calculator'!C16,500))*0.000001)^5))/(EXP(MIN('IR Calculator'!$C$5*'IR Calculator'!$C$6/((('IR Calculator'!C14+(214-0.5)*('IR Calculator'!C15-'IR Calculator'!C14)/MIN('IR Calculator'!C16,500))*0.000001)*'IR Calculator'!$C$7*'IR Calculator'!$C$19),700))-1)*0.000001</f>
        <v>48.0688857057763</v>
      </c>
    </row>
    <row r="225" customFormat="false" ht="12.75" hidden="false" customHeight="true" outlineLevel="0" collapsed="false">
      <c r="B225" s="22" t="n">
        <v>215</v>
      </c>
      <c r="C225" s="23" t="n">
        <f aca="false">'IR Calculator'!C14+(215-0.5)*('IR Calculator'!C15-'IR Calculator'!C14)/MIN('IR Calculator'!C16,500)</f>
        <v>8.858</v>
      </c>
      <c r="D225" s="24" t="n">
        <f aca="false">('IR Calculator'!C15-'IR Calculator'!C14)/MIN('IR Calculator'!C16,500)</f>
        <v>0.004</v>
      </c>
      <c r="E225" s="25" t="n">
        <f aca="false">(2*'IR Calculator'!$C$5*'IR Calculator'!$C$6^2/((('IR Calculator'!C14+(215-0.5)*('IR Calculator'!C15-'IR Calculator'!C14)/MIN('IR Calculator'!C16,500))*0.000001)^5))/(EXP(MIN('IR Calculator'!$C$5*'IR Calculator'!$C$6/((('IR Calculator'!C14+(215-0.5)*('IR Calculator'!C15-'IR Calculator'!C14)/MIN('IR Calculator'!C16,500))*0.000001)*'IR Calculator'!$C$7*'IR Calculator'!$C$19),700))-1)*0.000001</f>
        <v>48.0455250340028</v>
      </c>
    </row>
    <row r="226" customFormat="false" ht="12.75" hidden="false" customHeight="true" outlineLevel="0" collapsed="false">
      <c r="B226" s="26" t="n">
        <v>216</v>
      </c>
      <c r="C226" s="27" t="n">
        <f aca="false">'IR Calculator'!C14+(216-0.5)*('IR Calculator'!C15-'IR Calculator'!C14)/MIN('IR Calculator'!C16,500)</f>
        <v>8.862</v>
      </c>
      <c r="D226" s="28" t="n">
        <f aca="false">('IR Calculator'!C15-'IR Calculator'!C14)/MIN('IR Calculator'!C16,500)</f>
        <v>0.004</v>
      </c>
      <c r="E226" s="29" t="n">
        <f aca="false">(2*'IR Calculator'!$C$5*'IR Calculator'!$C$6^2/((('IR Calculator'!C14+(216-0.5)*('IR Calculator'!C15-'IR Calculator'!C14)/MIN('IR Calculator'!C16,500))*0.000001)^5))/(EXP(MIN('IR Calculator'!$C$5*'IR Calculator'!$C$6/((('IR Calculator'!C14+(216-0.5)*('IR Calculator'!C15-'IR Calculator'!C14)/MIN('IR Calculator'!C16,500))*0.000001)*'IR Calculator'!$C$7*'IR Calculator'!$C$19),700))-1)*0.000001</f>
        <v>48.0221510905728</v>
      </c>
    </row>
    <row r="227" customFormat="false" ht="12.75" hidden="false" customHeight="true" outlineLevel="0" collapsed="false">
      <c r="B227" s="22" t="n">
        <v>217</v>
      </c>
      <c r="C227" s="23" t="n">
        <f aca="false">'IR Calculator'!C14+(217-0.5)*('IR Calculator'!C15-'IR Calculator'!C14)/MIN('IR Calculator'!C16,500)</f>
        <v>8.866</v>
      </c>
      <c r="D227" s="24" t="n">
        <f aca="false">('IR Calculator'!C15-'IR Calculator'!C14)/MIN('IR Calculator'!C16,500)</f>
        <v>0.004</v>
      </c>
      <c r="E227" s="25" t="n">
        <f aca="false">(2*'IR Calculator'!$C$5*'IR Calculator'!$C$6^2/((('IR Calculator'!C14+(217-0.5)*('IR Calculator'!C15-'IR Calculator'!C14)/MIN('IR Calculator'!C16,500))*0.000001)^5))/(EXP(MIN('IR Calculator'!$C$5*'IR Calculator'!$C$6/((('IR Calculator'!C14+(217-0.5)*('IR Calculator'!C15-'IR Calculator'!C14)/MIN('IR Calculator'!C16,500))*0.000001)*'IR Calculator'!$C$7*'IR Calculator'!$C$19),700))-1)*0.000001</f>
        <v>47.9987639627625</v>
      </c>
    </row>
    <row r="228" customFormat="false" ht="12.75" hidden="false" customHeight="true" outlineLevel="0" collapsed="false">
      <c r="B228" s="26" t="n">
        <v>218</v>
      </c>
      <c r="C228" s="27" t="n">
        <f aca="false">'IR Calculator'!C14+(218-0.5)*('IR Calculator'!C15-'IR Calculator'!C14)/MIN('IR Calculator'!C16,500)</f>
        <v>8.87</v>
      </c>
      <c r="D228" s="28" t="n">
        <f aca="false">('IR Calculator'!C15-'IR Calculator'!C14)/MIN('IR Calculator'!C16,500)</f>
        <v>0.004</v>
      </c>
      <c r="E228" s="29" t="n">
        <f aca="false">(2*'IR Calculator'!$C$5*'IR Calculator'!$C$6^2/((('IR Calculator'!C14+(218-0.5)*('IR Calculator'!C15-'IR Calculator'!C14)/MIN('IR Calculator'!C16,500))*0.000001)^5))/(EXP(MIN('IR Calculator'!$C$5*'IR Calculator'!$C$6/((('IR Calculator'!C14+(218-0.5)*('IR Calculator'!C15-'IR Calculator'!C14)/MIN('IR Calculator'!C16,500))*0.000001)*'IR Calculator'!$C$7*'IR Calculator'!$C$19),700))-1)*0.000001</f>
        <v>47.9753637376182</v>
      </c>
    </row>
    <row r="229" customFormat="false" ht="12.75" hidden="false" customHeight="true" outlineLevel="0" collapsed="false">
      <c r="B229" s="22" t="n">
        <v>219</v>
      </c>
      <c r="C229" s="23" t="n">
        <f aca="false">'IR Calculator'!C14+(219-0.5)*('IR Calculator'!C15-'IR Calculator'!C14)/MIN('IR Calculator'!C16,500)</f>
        <v>8.874</v>
      </c>
      <c r="D229" s="24" t="n">
        <f aca="false">('IR Calculator'!C15-'IR Calculator'!C14)/MIN('IR Calculator'!C16,500)</f>
        <v>0.004</v>
      </c>
      <c r="E229" s="25" t="n">
        <f aca="false">(2*'IR Calculator'!$C$5*'IR Calculator'!$C$6^2/((('IR Calculator'!C14+(219-0.5)*('IR Calculator'!C15-'IR Calculator'!C14)/MIN('IR Calculator'!C16,500))*0.000001)^5))/(EXP(MIN('IR Calculator'!$C$5*'IR Calculator'!$C$6/((('IR Calculator'!C14+(219-0.5)*('IR Calculator'!C15-'IR Calculator'!C14)/MIN('IR Calculator'!C16,500))*0.000001)*'IR Calculator'!$C$7*'IR Calculator'!$C$19),700))-1)*0.000001</f>
        <v>47.9519505019569</v>
      </c>
    </row>
    <row r="230" customFormat="false" ht="12.75" hidden="false" customHeight="true" outlineLevel="0" collapsed="false">
      <c r="B230" s="26" t="n">
        <v>220</v>
      </c>
      <c r="C230" s="27" t="n">
        <f aca="false">'IR Calculator'!C14+(220-0.5)*('IR Calculator'!C15-'IR Calculator'!C14)/MIN('IR Calculator'!C16,500)</f>
        <v>8.878</v>
      </c>
      <c r="D230" s="28" t="n">
        <f aca="false">('IR Calculator'!C15-'IR Calculator'!C14)/MIN('IR Calculator'!C16,500)</f>
        <v>0.004</v>
      </c>
      <c r="E230" s="29" t="n">
        <f aca="false">(2*'IR Calculator'!$C$5*'IR Calculator'!$C$6^2/((('IR Calculator'!C14+(220-0.5)*('IR Calculator'!C15-'IR Calculator'!C14)/MIN('IR Calculator'!C16,500))*0.000001)^5))/(EXP(MIN('IR Calculator'!$C$5*'IR Calculator'!$C$6/((('IR Calculator'!C14+(220-0.5)*('IR Calculator'!C15-'IR Calculator'!C14)/MIN('IR Calculator'!C16,500))*0.000001)*'IR Calculator'!$C$7*'IR Calculator'!$C$19),700))-1)*0.000001</f>
        <v>47.9285243423663</v>
      </c>
    </row>
    <row r="231" customFormat="false" ht="12.75" hidden="false" customHeight="true" outlineLevel="0" collapsed="false">
      <c r="B231" s="22" t="n">
        <v>221</v>
      </c>
      <c r="C231" s="23" t="n">
        <f aca="false">'IR Calculator'!C14+(221-0.5)*('IR Calculator'!C15-'IR Calculator'!C14)/MIN('IR Calculator'!C16,500)</f>
        <v>8.882</v>
      </c>
      <c r="D231" s="24" t="n">
        <f aca="false">('IR Calculator'!C15-'IR Calculator'!C14)/MIN('IR Calculator'!C16,500)</f>
        <v>0.004</v>
      </c>
      <c r="E231" s="25" t="n">
        <f aca="false">(2*'IR Calculator'!$C$5*'IR Calculator'!$C$6^2/((('IR Calculator'!C14+(221-0.5)*('IR Calculator'!C15-'IR Calculator'!C14)/MIN('IR Calculator'!C16,500))*0.000001)^5))/(EXP(MIN('IR Calculator'!$C$5*'IR Calculator'!$C$6/((('IR Calculator'!C14+(221-0.5)*('IR Calculator'!C15-'IR Calculator'!C14)/MIN('IR Calculator'!C16,500))*0.000001)*'IR Calculator'!$C$7*'IR Calculator'!$C$19),700))-1)*0.000001</f>
        <v>47.9050853452053</v>
      </c>
    </row>
    <row r="232" customFormat="false" ht="12.75" hidden="false" customHeight="true" outlineLevel="0" collapsed="false">
      <c r="B232" s="26" t="n">
        <v>222</v>
      </c>
      <c r="C232" s="27" t="n">
        <f aca="false">'IR Calculator'!C14+(222-0.5)*('IR Calculator'!C15-'IR Calculator'!C14)/MIN('IR Calculator'!C16,500)</f>
        <v>8.886</v>
      </c>
      <c r="D232" s="28" t="n">
        <f aca="false">('IR Calculator'!C15-'IR Calculator'!C14)/MIN('IR Calculator'!C16,500)</f>
        <v>0.004</v>
      </c>
      <c r="E232" s="29" t="n">
        <f aca="false">(2*'IR Calculator'!$C$5*'IR Calculator'!$C$6^2/((('IR Calculator'!C14+(222-0.5)*('IR Calculator'!C15-'IR Calculator'!C14)/MIN('IR Calculator'!C16,500))*0.000001)^5))/(EXP(MIN('IR Calculator'!$C$5*'IR Calculator'!$C$6/((('IR Calculator'!C14+(222-0.5)*('IR Calculator'!C15-'IR Calculator'!C14)/MIN('IR Calculator'!C16,500))*0.000001)*'IR Calculator'!$C$7*'IR Calculator'!$C$19),700))-1)*0.000001</f>
        <v>47.8816335966046</v>
      </c>
    </row>
    <row r="233" customFormat="false" ht="12.75" hidden="false" customHeight="true" outlineLevel="0" collapsed="false">
      <c r="B233" s="22" t="n">
        <v>223</v>
      </c>
      <c r="C233" s="23" t="n">
        <f aca="false">'IR Calculator'!C14+(223-0.5)*('IR Calculator'!C15-'IR Calculator'!C14)/MIN('IR Calculator'!C16,500)</f>
        <v>8.89</v>
      </c>
      <c r="D233" s="24" t="n">
        <f aca="false">('IR Calculator'!C15-'IR Calculator'!C14)/MIN('IR Calculator'!C16,500)</f>
        <v>0.004</v>
      </c>
      <c r="E233" s="25" t="n">
        <f aca="false">(2*'IR Calculator'!$C$5*'IR Calculator'!$C$6^2/((('IR Calculator'!C14+(223-0.5)*('IR Calculator'!C15-'IR Calculator'!C14)/MIN('IR Calculator'!C16,500))*0.000001)^5))/(EXP(MIN('IR Calculator'!$C$5*'IR Calculator'!$C$6/((('IR Calculator'!C14+(223-0.5)*('IR Calculator'!C15-'IR Calculator'!C14)/MIN('IR Calculator'!C16,500))*0.000001)*'IR Calculator'!$C$7*'IR Calculator'!$C$19),700))-1)*0.000001</f>
        <v>47.858169182467</v>
      </c>
    </row>
    <row r="234" customFormat="false" ht="12.75" hidden="false" customHeight="true" outlineLevel="0" collapsed="false">
      <c r="B234" s="26" t="n">
        <v>224</v>
      </c>
      <c r="C234" s="27" t="n">
        <f aca="false">'IR Calculator'!C14+(224-0.5)*('IR Calculator'!C15-'IR Calculator'!C14)/MIN('IR Calculator'!C16,500)</f>
        <v>8.894</v>
      </c>
      <c r="D234" s="28" t="n">
        <f aca="false">('IR Calculator'!C15-'IR Calculator'!C14)/MIN('IR Calculator'!C16,500)</f>
        <v>0.004</v>
      </c>
      <c r="E234" s="29" t="n">
        <f aca="false">(2*'IR Calculator'!$C$5*'IR Calculator'!$C$6^2/((('IR Calculator'!C14+(224-0.5)*('IR Calculator'!C15-'IR Calculator'!C14)/MIN('IR Calculator'!C16,500))*0.000001)^5))/(EXP(MIN('IR Calculator'!$C$5*'IR Calculator'!$C$6/((('IR Calculator'!C14+(224-0.5)*('IR Calculator'!C15-'IR Calculator'!C14)/MIN('IR Calculator'!C16,500))*0.000001)*'IR Calculator'!$C$7*'IR Calculator'!$C$19),700))-1)*0.000001</f>
        <v>47.8346921884675</v>
      </c>
    </row>
    <row r="235" customFormat="false" ht="12.75" hidden="false" customHeight="true" outlineLevel="0" collapsed="false">
      <c r="B235" s="22" t="n">
        <v>225</v>
      </c>
      <c r="C235" s="23" t="n">
        <f aca="false">'IR Calculator'!C14+(225-0.5)*('IR Calculator'!C15-'IR Calculator'!C14)/MIN('IR Calculator'!C16,500)</f>
        <v>8.898</v>
      </c>
      <c r="D235" s="24" t="n">
        <f aca="false">('IR Calculator'!C15-'IR Calculator'!C14)/MIN('IR Calculator'!C16,500)</f>
        <v>0.004</v>
      </c>
      <c r="E235" s="25" t="n">
        <f aca="false">(2*'IR Calculator'!$C$5*'IR Calculator'!$C$6^2/((('IR Calculator'!C14+(225-0.5)*('IR Calculator'!C15-'IR Calculator'!C14)/MIN('IR Calculator'!C16,500))*0.000001)^5))/(EXP(MIN('IR Calculator'!$C$5*'IR Calculator'!$C$6/((('IR Calculator'!C14+(225-0.5)*('IR Calculator'!C15-'IR Calculator'!C14)/MIN('IR Calculator'!C16,500))*0.000001)*'IR Calculator'!$C$7*'IR Calculator'!$C$19),700))-1)*0.000001</f>
        <v>47.8112027000541</v>
      </c>
    </row>
    <row r="236" customFormat="false" ht="12.75" hidden="false" customHeight="true" outlineLevel="0" collapsed="false">
      <c r="B236" s="26" t="n">
        <v>226</v>
      </c>
      <c r="C236" s="27" t="n">
        <f aca="false">'IR Calculator'!C14+(226-0.5)*('IR Calculator'!C15-'IR Calculator'!C14)/MIN('IR Calculator'!C16,500)</f>
        <v>8.902</v>
      </c>
      <c r="D236" s="28" t="n">
        <f aca="false">('IR Calculator'!C15-'IR Calculator'!C14)/MIN('IR Calculator'!C16,500)</f>
        <v>0.004</v>
      </c>
      <c r="E236" s="29" t="n">
        <f aca="false">(2*'IR Calculator'!$C$5*'IR Calculator'!$C$6^2/((('IR Calculator'!C14+(226-0.5)*('IR Calculator'!C15-'IR Calculator'!C14)/MIN('IR Calculator'!C16,500))*0.000001)^5))/(EXP(MIN('IR Calculator'!$C$5*'IR Calculator'!$C$6/((('IR Calculator'!C14+(226-0.5)*('IR Calculator'!C15-'IR Calculator'!C14)/MIN('IR Calculator'!C16,500))*0.000001)*'IR Calculator'!$C$7*'IR Calculator'!$C$19),700))-1)*0.000001</f>
        <v>47.787700802448</v>
      </c>
    </row>
    <row r="237" customFormat="false" ht="12.75" hidden="false" customHeight="true" outlineLevel="0" collapsed="false">
      <c r="B237" s="22" t="n">
        <v>227</v>
      </c>
      <c r="C237" s="23" t="n">
        <f aca="false">'IR Calculator'!C14+(227-0.5)*('IR Calculator'!C15-'IR Calculator'!C14)/MIN('IR Calculator'!C16,500)</f>
        <v>8.906</v>
      </c>
      <c r="D237" s="24" t="n">
        <f aca="false">('IR Calculator'!C15-'IR Calculator'!C14)/MIN('IR Calculator'!C16,500)</f>
        <v>0.004</v>
      </c>
      <c r="E237" s="25" t="n">
        <f aca="false">(2*'IR Calculator'!$C$5*'IR Calculator'!$C$6^2/((('IR Calculator'!C14+(227-0.5)*('IR Calculator'!C15-'IR Calculator'!C14)/MIN('IR Calculator'!C16,500))*0.000001)^5))/(EXP(MIN('IR Calculator'!$C$5*'IR Calculator'!$C$6/((('IR Calculator'!C14+(227-0.5)*('IR Calculator'!C15-'IR Calculator'!C14)/MIN('IR Calculator'!C16,500))*0.000001)*'IR Calculator'!$C$7*'IR Calculator'!$C$19),700))-1)*0.000001</f>
        <v>47.764186580644</v>
      </c>
    </row>
    <row r="238" customFormat="false" ht="12.75" hidden="false" customHeight="true" outlineLevel="0" collapsed="false">
      <c r="B238" s="26" t="n">
        <v>228</v>
      </c>
      <c r="C238" s="27" t="n">
        <f aca="false">'IR Calculator'!C14+(228-0.5)*('IR Calculator'!C15-'IR Calculator'!C14)/MIN('IR Calculator'!C16,500)</f>
        <v>8.91</v>
      </c>
      <c r="D238" s="28" t="n">
        <f aca="false">('IR Calculator'!C15-'IR Calculator'!C14)/MIN('IR Calculator'!C16,500)</f>
        <v>0.004</v>
      </c>
      <c r="E238" s="29" t="n">
        <f aca="false">(2*'IR Calculator'!$C$5*'IR Calculator'!$C$6^2/((('IR Calculator'!C14+(228-0.5)*('IR Calculator'!C15-'IR Calculator'!C14)/MIN('IR Calculator'!C16,500))*0.000001)^5))/(EXP(MIN('IR Calculator'!$C$5*'IR Calculator'!$C$6/((('IR Calculator'!C14+(228-0.5)*('IR Calculator'!C15-'IR Calculator'!C14)/MIN('IR Calculator'!C16,500))*0.000001)*'IR Calculator'!$C$7*'IR Calculator'!$C$19),700))-1)*0.000001</f>
        <v>47.740660119411</v>
      </c>
    </row>
    <row r="239" customFormat="false" ht="12.75" hidden="false" customHeight="true" outlineLevel="0" collapsed="false">
      <c r="B239" s="22" t="n">
        <v>229</v>
      </c>
      <c r="C239" s="23" t="n">
        <f aca="false">'IR Calculator'!C14+(229-0.5)*('IR Calculator'!C15-'IR Calculator'!C14)/MIN('IR Calculator'!C16,500)</f>
        <v>8.914</v>
      </c>
      <c r="D239" s="24" t="n">
        <f aca="false">('IR Calculator'!C15-'IR Calculator'!C14)/MIN('IR Calculator'!C16,500)</f>
        <v>0.004</v>
      </c>
      <c r="E239" s="25" t="n">
        <f aca="false">(2*'IR Calculator'!$C$5*'IR Calculator'!$C$6^2/((('IR Calculator'!C14+(229-0.5)*('IR Calculator'!C15-'IR Calculator'!C14)/MIN('IR Calculator'!C16,500))*0.000001)^5))/(EXP(MIN('IR Calculator'!$C$5*'IR Calculator'!$C$6/((('IR Calculator'!C14+(229-0.5)*('IR Calculator'!C15-'IR Calculator'!C14)/MIN('IR Calculator'!C16,500))*0.000001)*'IR Calculator'!$C$7*'IR Calculator'!$C$19),700))-1)*0.000001</f>
        <v>47.7171215032923</v>
      </c>
    </row>
    <row r="240" customFormat="false" ht="12.75" hidden="false" customHeight="true" outlineLevel="0" collapsed="false">
      <c r="B240" s="26" t="n">
        <v>230</v>
      </c>
      <c r="C240" s="27" t="n">
        <f aca="false">'IR Calculator'!C14+(230-0.5)*('IR Calculator'!C15-'IR Calculator'!C14)/MIN('IR Calculator'!C16,500)</f>
        <v>8.918</v>
      </c>
      <c r="D240" s="28" t="n">
        <f aca="false">('IR Calculator'!C15-'IR Calculator'!C14)/MIN('IR Calculator'!C16,500)</f>
        <v>0.004</v>
      </c>
      <c r="E240" s="29" t="n">
        <f aca="false">(2*'IR Calculator'!$C$5*'IR Calculator'!$C$6^2/((('IR Calculator'!C14+(230-0.5)*('IR Calculator'!C15-'IR Calculator'!C14)/MIN('IR Calculator'!C16,500))*0.000001)^5))/(EXP(MIN('IR Calculator'!$C$5*'IR Calculator'!$C$6/((('IR Calculator'!C14+(230-0.5)*('IR Calculator'!C15-'IR Calculator'!C14)/MIN('IR Calculator'!C16,500))*0.000001)*'IR Calculator'!$C$7*'IR Calculator'!$C$19),700))-1)*0.000001</f>
        <v>47.6935708166059</v>
      </c>
    </row>
    <row r="241" customFormat="false" ht="12.75" hidden="false" customHeight="true" outlineLevel="0" collapsed="false">
      <c r="B241" s="22" t="n">
        <v>231</v>
      </c>
      <c r="C241" s="23" t="n">
        <f aca="false">'IR Calculator'!C14+(231-0.5)*('IR Calculator'!C15-'IR Calculator'!C14)/MIN('IR Calculator'!C16,500)</f>
        <v>8.922</v>
      </c>
      <c r="D241" s="24" t="n">
        <f aca="false">('IR Calculator'!C15-'IR Calculator'!C14)/MIN('IR Calculator'!C16,500)</f>
        <v>0.004</v>
      </c>
      <c r="E241" s="25" t="n">
        <f aca="false">(2*'IR Calculator'!$C$5*'IR Calculator'!$C$6^2/((('IR Calculator'!C14+(231-0.5)*('IR Calculator'!C15-'IR Calculator'!C14)/MIN('IR Calculator'!C16,500))*0.000001)^5))/(EXP(MIN('IR Calculator'!$C$5*'IR Calculator'!$C$6/((('IR Calculator'!C14+(231-0.5)*('IR Calculator'!C15-'IR Calculator'!C14)/MIN('IR Calculator'!C16,500))*0.000001)*'IR Calculator'!$C$7*'IR Calculator'!$C$19),700))-1)*0.000001</f>
        <v>47.6700081434451</v>
      </c>
    </row>
    <row r="242" customFormat="false" ht="12.75" hidden="false" customHeight="true" outlineLevel="0" collapsed="false">
      <c r="B242" s="26" t="n">
        <v>232</v>
      </c>
      <c r="C242" s="27" t="n">
        <f aca="false">'IR Calculator'!C14+(232-0.5)*('IR Calculator'!C15-'IR Calculator'!C14)/MIN('IR Calculator'!C16,500)</f>
        <v>8.926</v>
      </c>
      <c r="D242" s="28" t="n">
        <f aca="false">('IR Calculator'!C15-'IR Calculator'!C14)/MIN('IR Calculator'!C16,500)</f>
        <v>0.004</v>
      </c>
      <c r="E242" s="29" t="n">
        <f aca="false">(2*'IR Calculator'!$C$5*'IR Calculator'!$C$6^2/((('IR Calculator'!C14+(232-0.5)*('IR Calculator'!C15-'IR Calculator'!C14)/MIN('IR Calculator'!C16,500))*0.000001)^5))/(EXP(MIN('IR Calculator'!$C$5*'IR Calculator'!$C$6/((('IR Calculator'!C14+(232-0.5)*('IR Calculator'!C15-'IR Calculator'!C14)/MIN('IR Calculator'!C16,500))*0.000001)*'IR Calculator'!$C$7*'IR Calculator'!$C$19),700))-1)*0.000001</f>
        <v>47.6464335676787</v>
      </c>
    </row>
    <row r="243" customFormat="false" ht="12.75" hidden="false" customHeight="true" outlineLevel="0" collapsed="false">
      <c r="B243" s="22" t="n">
        <v>233</v>
      </c>
      <c r="C243" s="23" t="n">
        <f aca="false">'IR Calculator'!C14+(233-0.5)*('IR Calculator'!C15-'IR Calculator'!C14)/MIN('IR Calculator'!C16,500)</f>
        <v>8.93</v>
      </c>
      <c r="D243" s="24" t="n">
        <f aca="false">('IR Calculator'!C15-'IR Calculator'!C14)/MIN('IR Calculator'!C16,500)</f>
        <v>0.004</v>
      </c>
      <c r="E243" s="25" t="n">
        <f aca="false">(2*'IR Calculator'!$C$5*'IR Calculator'!$C$6^2/((('IR Calculator'!C14+(233-0.5)*('IR Calculator'!C15-'IR Calculator'!C14)/MIN('IR Calculator'!C16,500))*0.000001)^5))/(EXP(MIN('IR Calculator'!$C$5*'IR Calculator'!$C$6/((('IR Calculator'!C14+(233-0.5)*('IR Calculator'!C15-'IR Calculator'!C14)/MIN('IR Calculator'!C16,500))*0.000001)*'IR Calculator'!$C$7*'IR Calculator'!$C$19),700))-1)*0.000001</f>
        <v>47.6228471729515</v>
      </c>
    </row>
    <row r="244" customFormat="false" ht="12.75" hidden="false" customHeight="true" outlineLevel="0" collapsed="false">
      <c r="B244" s="26" t="n">
        <v>234</v>
      </c>
      <c r="C244" s="27" t="n">
        <f aca="false">'IR Calculator'!C14+(234-0.5)*('IR Calculator'!C15-'IR Calculator'!C14)/MIN('IR Calculator'!C16,500)</f>
        <v>8.934</v>
      </c>
      <c r="D244" s="28" t="n">
        <f aca="false">('IR Calculator'!C15-'IR Calculator'!C14)/MIN('IR Calculator'!C16,500)</f>
        <v>0.004</v>
      </c>
      <c r="E244" s="29" t="n">
        <f aca="false">(2*'IR Calculator'!$C$5*'IR Calculator'!$C$6^2/((('IR Calculator'!C14+(234-0.5)*('IR Calculator'!C15-'IR Calculator'!C14)/MIN('IR Calculator'!C16,500))*0.000001)^5))/(EXP(MIN('IR Calculator'!$C$5*'IR Calculator'!$C$6/((('IR Calculator'!C14+(234-0.5)*('IR Calculator'!C15-'IR Calculator'!C14)/MIN('IR Calculator'!C16,500))*0.000001)*'IR Calculator'!$C$7*'IR Calculator'!$C$19),700))-1)*0.000001</f>
        <v>47.5992490426848</v>
      </c>
    </row>
    <row r="245" customFormat="false" ht="12.75" hidden="false" customHeight="true" outlineLevel="0" collapsed="false">
      <c r="B245" s="22" t="n">
        <v>235</v>
      </c>
      <c r="C245" s="23" t="n">
        <f aca="false">'IR Calculator'!C14+(235-0.5)*('IR Calculator'!C15-'IR Calculator'!C14)/MIN('IR Calculator'!C16,500)</f>
        <v>8.938</v>
      </c>
      <c r="D245" s="24" t="n">
        <f aca="false">('IR Calculator'!C15-'IR Calculator'!C14)/MIN('IR Calculator'!C16,500)</f>
        <v>0.004</v>
      </c>
      <c r="E245" s="25" t="n">
        <f aca="false">(2*'IR Calculator'!$C$5*'IR Calculator'!$C$6^2/((('IR Calculator'!C14+(235-0.5)*('IR Calculator'!C15-'IR Calculator'!C14)/MIN('IR Calculator'!C16,500))*0.000001)^5))/(EXP(MIN('IR Calculator'!$C$5*'IR Calculator'!$C$6/((('IR Calculator'!C14+(235-0.5)*('IR Calculator'!C15-'IR Calculator'!C14)/MIN('IR Calculator'!C16,500))*0.000001)*'IR Calculator'!$C$7*'IR Calculator'!$C$19),700))-1)*0.000001</f>
        <v>47.5756392600767</v>
      </c>
    </row>
    <row r="246" customFormat="false" ht="12.75" hidden="false" customHeight="true" outlineLevel="0" collapsed="false">
      <c r="B246" s="26" t="n">
        <v>236</v>
      </c>
      <c r="C246" s="27" t="n">
        <f aca="false">'IR Calculator'!C14+(236-0.5)*('IR Calculator'!C15-'IR Calculator'!C14)/MIN('IR Calculator'!C16,500)</f>
        <v>8.942</v>
      </c>
      <c r="D246" s="28" t="n">
        <f aca="false">('IR Calculator'!C15-'IR Calculator'!C14)/MIN('IR Calculator'!C16,500)</f>
        <v>0.004</v>
      </c>
      <c r="E246" s="29" t="n">
        <f aca="false">(2*'IR Calculator'!$C$5*'IR Calculator'!$C$6^2/((('IR Calculator'!C14+(236-0.5)*('IR Calculator'!C15-'IR Calculator'!C14)/MIN('IR Calculator'!C16,500))*0.000001)^5))/(EXP(MIN('IR Calculator'!$C$5*'IR Calculator'!$C$6/((('IR Calculator'!C14+(236-0.5)*('IR Calculator'!C15-'IR Calculator'!C14)/MIN('IR Calculator'!C16,500))*0.000001)*'IR Calculator'!$C$7*'IR Calculator'!$C$19),700))-1)*0.000001</f>
        <v>47.5520179081021</v>
      </c>
    </row>
    <row r="247" customFormat="false" ht="12.75" hidden="false" customHeight="true" outlineLevel="0" collapsed="false">
      <c r="B247" s="22" t="n">
        <v>237</v>
      </c>
      <c r="C247" s="23" t="n">
        <f aca="false">'IR Calculator'!C14+(237-0.5)*('IR Calculator'!C15-'IR Calculator'!C14)/MIN('IR Calculator'!C16,500)</f>
        <v>8.946</v>
      </c>
      <c r="D247" s="24" t="n">
        <f aca="false">('IR Calculator'!C15-'IR Calculator'!C14)/MIN('IR Calculator'!C16,500)</f>
        <v>0.004</v>
      </c>
      <c r="E247" s="25" t="n">
        <f aca="false">(2*'IR Calculator'!$C$5*'IR Calculator'!$C$6^2/((('IR Calculator'!C14+(237-0.5)*('IR Calculator'!C15-'IR Calculator'!C14)/MIN('IR Calculator'!C16,500))*0.000001)^5))/(EXP(MIN('IR Calculator'!$C$5*'IR Calculator'!$C$6/((('IR Calculator'!C14+(237-0.5)*('IR Calculator'!C15-'IR Calculator'!C14)/MIN('IR Calculator'!C16,500))*0.000001)*'IR Calculator'!$C$7*'IR Calculator'!$C$19),700))-1)*0.000001</f>
        <v>47.5283850695138</v>
      </c>
    </row>
    <row r="248" customFormat="false" ht="12.75" hidden="false" customHeight="true" outlineLevel="0" collapsed="false">
      <c r="B248" s="26" t="n">
        <v>238</v>
      </c>
      <c r="C248" s="27" t="n">
        <f aca="false">'IR Calculator'!C14+(238-0.5)*('IR Calculator'!C15-'IR Calculator'!C14)/MIN('IR Calculator'!C16,500)</f>
        <v>8.95</v>
      </c>
      <c r="D248" s="28" t="n">
        <f aca="false">('IR Calculator'!C15-'IR Calculator'!C14)/MIN('IR Calculator'!C16,500)</f>
        <v>0.004</v>
      </c>
      <c r="E248" s="29" t="n">
        <f aca="false">(2*'IR Calculator'!$C$5*'IR Calculator'!$C$6^2/((('IR Calculator'!C14+(238-0.5)*('IR Calculator'!C15-'IR Calculator'!C14)/MIN('IR Calculator'!C16,500))*0.000001)^5))/(EXP(MIN('IR Calculator'!$C$5*'IR Calculator'!$C$6/((('IR Calculator'!C14+(238-0.5)*('IR Calculator'!C15-'IR Calculator'!C14)/MIN('IR Calculator'!C16,500))*0.000001)*'IR Calculator'!$C$7*'IR Calculator'!$C$19),700))-1)*0.000001</f>
        <v>47.5047408268427</v>
      </c>
    </row>
    <row r="249" customFormat="false" ht="12.75" hidden="false" customHeight="true" outlineLevel="0" collapsed="false">
      <c r="B249" s="22" t="n">
        <v>239</v>
      </c>
      <c r="C249" s="23" t="n">
        <f aca="false">'IR Calculator'!C14+(239-0.5)*('IR Calculator'!C15-'IR Calculator'!C14)/MIN('IR Calculator'!C16,500)</f>
        <v>8.954</v>
      </c>
      <c r="D249" s="24" t="n">
        <f aca="false">('IR Calculator'!C15-'IR Calculator'!C14)/MIN('IR Calculator'!C16,500)</f>
        <v>0.004</v>
      </c>
      <c r="E249" s="25" t="n">
        <f aca="false">(2*'IR Calculator'!$C$5*'IR Calculator'!$C$6^2/((('IR Calculator'!C14+(239-0.5)*('IR Calculator'!C15-'IR Calculator'!C14)/MIN('IR Calculator'!C16,500))*0.000001)^5))/(EXP(MIN('IR Calculator'!$C$5*'IR Calculator'!$C$6/((('IR Calculator'!C14+(239-0.5)*('IR Calculator'!C15-'IR Calculator'!C14)/MIN('IR Calculator'!C16,500))*0.000001)*'IR Calculator'!$C$7*'IR Calculator'!$C$19),700))-1)*0.000001</f>
        <v>47.4810852623977</v>
      </c>
    </row>
    <row r="250" customFormat="false" ht="12.75" hidden="false" customHeight="true" outlineLevel="0" collapsed="false">
      <c r="B250" s="26" t="n">
        <v>240</v>
      </c>
      <c r="C250" s="27" t="n">
        <f aca="false">'IR Calculator'!C14+(240-0.5)*('IR Calculator'!C15-'IR Calculator'!C14)/MIN('IR Calculator'!C16,500)</f>
        <v>8.958</v>
      </c>
      <c r="D250" s="28" t="n">
        <f aca="false">('IR Calculator'!C15-'IR Calculator'!C14)/MIN('IR Calculator'!C16,500)</f>
        <v>0.004</v>
      </c>
      <c r="E250" s="29" t="n">
        <f aca="false">(2*'IR Calculator'!$C$5*'IR Calculator'!$C$6^2/((('IR Calculator'!C14+(240-0.5)*('IR Calculator'!C15-'IR Calculator'!C14)/MIN('IR Calculator'!C16,500))*0.000001)^5))/(EXP(MIN('IR Calculator'!$C$5*'IR Calculator'!$C$6/((('IR Calculator'!C14+(240-0.5)*('IR Calculator'!C15-'IR Calculator'!C14)/MIN('IR Calculator'!C16,500))*0.000001)*'IR Calculator'!$C$7*'IR Calculator'!$C$19),700))-1)*0.000001</f>
        <v>47.4574184582664</v>
      </c>
    </row>
    <row r="251" customFormat="false" ht="12.75" hidden="false" customHeight="true" outlineLevel="0" collapsed="false">
      <c r="B251" s="22" t="n">
        <v>241</v>
      </c>
      <c r="C251" s="23" t="n">
        <f aca="false">'IR Calculator'!C14+(241-0.5)*('IR Calculator'!C15-'IR Calculator'!C14)/MIN('IR Calculator'!C16,500)</f>
        <v>8.962</v>
      </c>
      <c r="D251" s="24" t="n">
        <f aca="false">('IR Calculator'!C15-'IR Calculator'!C14)/MIN('IR Calculator'!C16,500)</f>
        <v>0.004</v>
      </c>
      <c r="E251" s="25" t="n">
        <f aca="false">(2*'IR Calculator'!$C$5*'IR Calculator'!$C$6^2/((('IR Calculator'!C14+(241-0.5)*('IR Calculator'!C15-'IR Calculator'!C14)/MIN('IR Calculator'!C16,500))*0.000001)^5))/(EXP(MIN('IR Calculator'!$C$5*'IR Calculator'!$C$6/((('IR Calculator'!C14+(241-0.5)*('IR Calculator'!C15-'IR Calculator'!C14)/MIN('IR Calculator'!C16,500))*0.000001)*'IR Calculator'!$C$7*'IR Calculator'!$C$19),700))-1)*0.000001</f>
        <v>47.433740496316</v>
      </c>
    </row>
    <row r="252" customFormat="false" ht="12.75" hidden="false" customHeight="true" outlineLevel="0" collapsed="false">
      <c r="B252" s="26" t="n">
        <v>242</v>
      </c>
      <c r="C252" s="27" t="n">
        <f aca="false">'IR Calculator'!C14+(242-0.5)*('IR Calculator'!C15-'IR Calculator'!C14)/MIN('IR Calculator'!C16,500)</f>
        <v>8.966</v>
      </c>
      <c r="D252" s="28" t="n">
        <f aca="false">('IR Calculator'!C15-'IR Calculator'!C14)/MIN('IR Calculator'!C16,500)</f>
        <v>0.004</v>
      </c>
      <c r="E252" s="29" t="n">
        <f aca="false">(2*'IR Calculator'!$C$5*'IR Calculator'!$C$6^2/((('IR Calculator'!C14+(242-0.5)*('IR Calculator'!C15-'IR Calculator'!C14)/MIN('IR Calculator'!C16,500))*0.000001)^5))/(EXP(MIN('IR Calculator'!$C$5*'IR Calculator'!$C$6/((('IR Calculator'!C14+(242-0.5)*('IR Calculator'!C15-'IR Calculator'!C14)/MIN('IR Calculator'!C16,500))*0.000001)*'IR Calculator'!$C$7*'IR Calculator'!$C$19),700))-1)*0.000001</f>
        <v>47.4100514581928</v>
      </c>
    </row>
    <row r="253" customFormat="false" ht="12.75" hidden="false" customHeight="true" outlineLevel="0" collapsed="false">
      <c r="B253" s="22" t="n">
        <v>243</v>
      </c>
      <c r="C253" s="23" t="n">
        <f aca="false">'IR Calculator'!C14+(243-0.5)*('IR Calculator'!C15-'IR Calculator'!C14)/MIN('IR Calculator'!C16,500)</f>
        <v>8.97</v>
      </c>
      <c r="D253" s="24" t="n">
        <f aca="false">('IR Calculator'!C15-'IR Calculator'!C14)/MIN('IR Calculator'!C16,500)</f>
        <v>0.004</v>
      </c>
      <c r="E253" s="25" t="n">
        <f aca="false">(2*'IR Calculator'!$C$5*'IR Calculator'!$C$6^2/((('IR Calculator'!C14+(243-0.5)*('IR Calculator'!C15-'IR Calculator'!C14)/MIN('IR Calculator'!C16,500))*0.000001)^5))/(EXP(MIN('IR Calculator'!$C$5*'IR Calculator'!$C$6/((('IR Calculator'!C14+(243-0.5)*('IR Calculator'!C15-'IR Calculator'!C14)/MIN('IR Calculator'!C16,500))*0.000001)*'IR Calculator'!$C$7*'IR Calculator'!$C$19),700))-1)*0.000001</f>
        <v>47.3863514253232</v>
      </c>
    </row>
    <row r="254" customFormat="false" ht="12.75" hidden="false" customHeight="true" outlineLevel="0" collapsed="false">
      <c r="B254" s="26" t="n">
        <v>244</v>
      </c>
      <c r="C254" s="27" t="n">
        <f aca="false">'IR Calculator'!C14+(244-0.5)*('IR Calculator'!C15-'IR Calculator'!C14)/MIN('IR Calculator'!C16,500)</f>
        <v>8.974</v>
      </c>
      <c r="D254" s="28" t="n">
        <f aca="false">('IR Calculator'!C15-'IR Calculator'!C14)/MIN('IR Calculator'!C16,500)</f>
        <v>0.004</v>
      </c>
      <c r="E254" s="29" t="n">
        <f aca="false">(2*'IR Calculator'!$C$5*'IR Calculator'!$C$6^2/((('IR Calculator'!C14+(244-0.5)*('IR Calculator'!C15-'IR Calculator'!C14)/MIN('IR Calculator'!C16,500))*0.000001)^5))/(EXP(MIN('IR Calculator'!$C$5*'IR Calculator'!$C$6/((('IR Calculator'!C14+(244-0.5)*('IR Calculator'!C15-'IR Calculator'!C14)/MIN('IR Calculator'!C16,500))*0.000001)*'IR Calculator'!$C$7*'IR Calculator'!$C$19),700))-1)*0.000001</f>
        <v>47.3626404789141</v>
      </c>
    </row>
    <row r="255" customFormat="false" ht="12.75" hidden="false" customHeight="true" outlineLevel="0" collapsed="false">
      <c r="B255" s="22" t="n">
        <v>245</v>
      </c>
      <c r="C255" s="23" t="n">
        <f aca="false">'IR Calculator'!C14+(245-0.5)*('IR Calculator'!C15-'IR Calculator'!C14)/MIN('IR Calculator'!C16,500)</f>
        <v>8.978</v>
      </c>
      <c r="D255" s="24" t="n">
        <f aca="false">('IR Calculator'!C15-'IR Calculator'!C14)/MIN('IR Calculator'!C16,500)</f>
        <v>0.004</v>
      </c>
      <c r="E255" s="25" t="n">
        <f aca="false">(2*'IR Calculator'!$C$5*'IR Calculator'!$C$6^2/((('IR Calculator'!C14+(245-0.5)*('IR Calculator'!C15-'IR Calculator'!C14)/MIN('IR Calculator'!C16,500))*0.000001)^5))/(EXP(MIN('IR Calculator'!$C$5*'IR Calculator'!$C$6/((('IR Calculator'!C14+(245-0.5)*('IR Calculator'!C15-'IR Calculator'!C14)/MIN('IR Calculator'!C16,500))*0.000001)*'IR Calculator'!$C$7*'IR Calculator'!$C$19),700))-1)*0.000001</f>
        <v>47.3389186999526</v>
      </c>
    </row>
    <row r="256" customFormat="false" ht="12.75" hidden="false" customHeight="true" outlineLevel="0" collapsed="false">
      <c r="B256" s="26" t="n">
        <v>246</v>
      </c>
      <c r="C256" s="27" t="n">
        <f aca="false">'IR Calculator'!C14+(246-0.5)*('IR Calculator'!C15-'IR Calculator'!C14)/MIN('IR Calculator'!C16,500)</f>
        <v>8.982</v>
      </c>
      <c r="D256" s="28" t="n">
        <f aca="false">('IR Calculator'!C15-'IR Calculator'!C14)/MIN('IR Calculator'!C16,500)</f>
        <v>0.004</v>
      </c>
      <c r="E256" s="29" t="n">
        <f aca="false">(2*'IR Calculator'!$C$5*'IR Calculator'!$C$6^2/((('IR Calculator'!C14+(246-0.5)*('IR Calculator'!C15-'IR Calculator'!C14)/MIN('IR Calculator'!C16,500))*0.000001)^5))/(EXP(MIN('IR Calculator'!$C$5*'IR Calculator'!$C$6/((('IR Calculator'!C14+(246-0.5)*('IR Calculator'!C15-'IR Calculator'!C14)/MIN('IR Calculator'!C16,500))*0.000001)*'IR Calculator'!$C$7*'IR Calculator'!$C$19),700))-1)*0.000001</f>
        <v>47.3151861692075</v>
      </c>
    </row>
    <row r="257" customFormat="false" ht="12.75" hidden="false" customHeight="true" outlineLevel="0" collapsed="false">
      <c r="B257" s="22" t="n">
        <v>247</v>
      </c>
      <c r="C257" s="23" t="n">
        <f aca="false">'IR Calculator'!C14+(247-0.5)*('IR Calculator'!C15-'IR Calculator'!C14)/MIN('IR Calculator'!C16,500)</f>
        <v>8.986</v>
      </c>
      <c r="D257" s="24" t="n">
        <f aca="false">('IR Calculator'!C15-'IR Calculator'!C14)/MIN('IR Calculator'!C16,500)</f>
        <v>0.004</v>
      </c>
      <c r="E257" s="25" t="n">
        <f aca="false">(2*'IR Calculator'!$C$5*'IR Calculator'!$C$6^2/((('IR Calculator'!C14+(247-0.5)*('IR Calculator'!C15-'IR Calculator'!C14)/MIN('IR Calculator'!C16,500))*0.000001)^5))/(EXP(MIN('IR Calculator'!$C$5*'IR Calculator'!$C$6/((('IR Calculator'!C14+(247-0.5)*('IR Calculator'!C15-'IR Calculator'!C14)/MIN('IR Calculator'!C16,500))*0.000001)*'IR Calculator'!$C$7*'IR Calculator'!$C$19),700))-1)*0.000001</f>
        <v>47.2914429672287</v>
      </c>
    </row>
    <row r="258" customFormat="false" ht="12.75" hidden="false" customHeight="true" outlineLevel="0" collapsed="false">
      <c r="B258" s="26" t="n">
        <v>248</v>
      </c>
      <c r="C258" s="27" t="n">
        <f aca="false">'IR Calculator'!C14+(248-0.5)*('IR Calculator'!C15-'IR Calculator'!C14)/MIN('IR Calculator'!C16,500)</f>
        <v>8.99</v>
      </c>
      <c r="D258" s="28" t="n">
        <f aca="false">('IR Calculator'!C15-'IR Calculator'!C14)/MIN('IR Calculator'!C16,500)</f>
        <v>0.004</v>
      </c>
      <c r="E258" s="29" t="n">
        <f aca="false">(2*'IR Calculator'!$C$5*'IR Calculator'!$C$6^2/((('IR Calculator'!C14+(248-0.5)*('IR Calculator'!C15-'IR Calculator'!C14)/MIN('IR Calculator'!C16,500))*0.000001)^5))/(EXP(MIN('IR Calculator'!$C$5*'IR Calculator'!$C$6/((('IR Calculator'!C14+(248-0.5)*('IR Calculator'!C15-'IR Calculator'!C14)/MIN('IR Calculator'!C16,500))*0.000001)*'IR Calculator'!$C$7*'IR Calculator'!$C$19),700))-1)*0.000001</f>
        <v>47.2676891743482</v>
      </c>
    </row>
    <row r="259" customFormat="false" ht="12.75" hidden="false" customHeight="true" outlineLevel="0" collapsed="false">
      <c r="B259" s="22" t="n">
        <v>249</v>
      </c>
      <c r="C259" s="23" t="n">
        <f aca="false">'IR Calculator'!C14+(249-0.5)*('IR Calculator'!C15-'IR Calculator'!C14)/MIN('IR Calculator'!C16,500)</f>
        <v>8.994</v>
      </c>
      <c r="D259" s="24" t="n">
        <f aca="false">('IR Calculator'!C15-'IR Calculator'!C14)/MIN('IR Calculator'!C16,500)</f>
        <v>0.004</v>
      </c>
      <c r="E259" s="25" t="n">
        <f aca="false">(2*'IR Calculator'!$C$5*'IR Calculator'!$C$6^2/((('IR Calculator'!C14+(249-0.5)*('IR Calculator'!C15-'IR Calculator'!C14)/MIN('IR Calculator'!C16,500))*0.000001)^5))/(EXP(MIN('IR Calculator'!$C$5*'IR Calculator'!$C$6/((('IR Calculator'!C14+(249-0.5)*('IR Calculator'!C15-'IR Calculator'!C14)/MIN('IR Calculator'!C16,500))*0.000001)*'IR Calculator'!$C$7*'IR Calculator'!$C$19),700))-1)*0.000001</f>
        <v>47.2439248706803</v>
      </c>
    </row>
    <row r="260" customFormat="false" ht="12.75" hidden="false" customHeight="true" outlineLevel="0" collapsed="false">
      <c r="B260" s="26" t="n">
        <v>250</v>
      </c>
      <c r="C260" s="27" t="n">
        <f aca="false">'IR Calculator'!C14+(250-0.5)*('IR Calculator'!C15-'IR Calculator'!C14)/MIN('IR Calculator'!C16,500)</f>
        <v>8.998</v>
      </c>
      <c r="D260" s="28" t="n">
        <f aca="false">('IR Calculator'!C15-'IR Calculator'!C14)/MIN('IR Calculator'!C16,500)</f>
        <v>0.004</v>
      </c>
      <c r="E260" s="29" t="n">
        <f aca="false">(2*'IR Calculator'!$C$5*'IR Calculator'!$C$6^2/((('IR Calculator'!C14+(250-0.5)*('IR Calculator'!C15-'IR Calculator'!C14)/MIN('IR Calculator'!C16,500))*0.000001)^5))/(EXP(MIN('IR Calculator'!$C$5*'IR Calculator'!$C$6/((('IR Calculator'!C14+(250-0.5)*('IR Calculator'!C15-'IR Calculator'!C14)/MIN('IR Calculator'!C16,500))*0.000001)*'IR Calculator'!$C$7*'IR Calculator'!$C$19),700))-1)*0.000001</f>
        <v>47.2201501361219</v>
      </c>
    </row>
    <row r="261" customFormat="false" ht="12.75" hidden="false" customHeight="true" outlineLevel="0" collapsed="false">
      <c r="B261" s="22" t="n">
        <v>251</v>
      </c>
      <c r="C261" s="23" t="n">
        <f aca="false">'IR Calculator'!C14+(251-0.5)*('IR Calculator'!C15-'IR Calculator'!C14)/MIN('IR Calculator'!C16,500)</f>
        <v>9.002</v>
      </c>
      <c r="D261" s="24" t="n">
        <f aca="false">('IR Calculator'!C15-'IR Calculator'!C14)/MIN('IR Calculator'!C16,500)</f>
        <v>0.004</v>
      </c>
      <c r="E261" s="25" t="n">
        <f aca="false">(2*'IR Calculator'!$C$5*'IR Calculator'!$C$6^2/((('IR Calculator'!C14+(251-0.5)*('IR Calculator'!C15-'IR Calculator'!C14)/MIN('IR Calculator'!C16,500))*0.000001)^5))/(EXP(MIN('IR Calculator'!$C$5*'IR Calculator'!$C$6/((('IR Calculator'!C14+(251-0.5)*('IR Calculator'!C15-'IR Calculator'!C14)/MIN('IR Calculator'!C16,500))*0.000001)*'IR Calculator'!$C$7*'IR Calculator'!$C$19),700))-1)*0.000001</f>
        <v>47.1963650503529</v>
      </c>
    </row>
    <row r="262" customFormat="false" ht="12.75" hidden="false" customHeight="true" outlineLevel="0" collapsed="false">
      <c r="B262" s="26" t="n">
        <v>252</v>
      </c>
      <c r="C262" s="27" t="n">
        <f aca="false">'IR Calculator'!C14+(252-0.5)*('IR Calculator'!C15-'IR Calculator'!C14)/MIN('IR Calculator'!C16,500)</f>
        <v>9.006</v>
      </c>
      <c r="D262" s="28" t="n">
        <f aca="false">('IR Calculator'!C15-'IR Calculator'!C14)/MIN('IR Calculator'!C16,500)</f>
        <v>0.004</v>
      </c>
      <c r="E262" s="29" t="n">
        <f aca="false">(2*'IR Calculator'!$C$5*'IR Calculator'!$C$6^2/((('IR Calculator'!C14+(252-0.5)*('IR Calculator'!C15-'IR Calculator'!C14)/MIN('IR Calculator'!C16,500))*0.000001)^5))/(EXP(MIN('IR Calculator'!$C$5*'IR Calculator'!$C$6/((('IR Calculator'!C14+(252-0.5)*('IR Calculator'!C15-'IR Calculator'!C14)/MIN('IR Calculator'!C16,500))*0.000001)*'IR Calculator'!$C$7*'IR Calculator'!$C$19),700))-1)*0.000001</f>
        <v>47.1725696928369</v>
      </c>
    </row>
    <row r="263" customFormat="false" ht="12.75" hidden="false" customHeight="true" outlineLevel="0" collapsed="false">
      <c r="B263" s="22" t="n">
        <v>253</v>
      </c>
      <c r="C263" s="23" t="n">
        <f aca="false">'IR Calculator'!C14+(253-0.5)*('IR Calculator'!C15-'IR Calculator'!C14)/MIN('IR Calculator'!C16,500)</f>
        <v>9.01</v>
      </c>
      <c r="D263" s="24" t="n">
        <f aca="false">('IR Calculator'!C15-'IR Calculator'!C14)/MIN('IR Calculator'!C16,500)</f>
        <v>0.004</v>
      </c>
      <c r="E263" s="25" t="n">
        <f aca="false">(2*'IR Calculator'!$C$5*'IR Calculator'!$C$6^2/((('IR Calculator'!C14+(253-0.5)*('IR Calculator'!C15-'IR Calculator'!C14)/MIN('IR Calculator'!C16,500))*0.000001)^5))/(EXP(MIN('IR Calculator'!$C$5*'IR Calculator'!$C$6/((('IR Calculator'!C14+(253-0.5)*('IR Calculator'!C15-'IR Calculator'!C14)/MIN('IR Calculator'!C16,500))*0.000001)*'IR Calculator'!$C$7*'IR Calculator'!$C$19),700))-1)*0.000001</f>
        <v>47.1487641428213</v>
      </c>
    </row>
    <row r="264" customFormat="false" ht="12.75" hidden="false" customHeight="true" outlineLevel="0" collapsed="false">
      <c r="B264" s="26" t="n">
        <v>254</v>
      </c>
      <c r="C264" s="27" t="n">
        <f aca="false">'IR Calculator'!C14+(254-0.5)*('IR Calculator'!C15-'IR Calculator'!C14)/MIN('IR Calculator'!C16,500)</f>
        <v>9.014</v>
      </c>
      <c r="D264" s="28" t="n">
        <f aca="false">('IR Calculator'!C15-'IR Calculator'!C14)/MIN('IR Calculator'!C16,500)</f>
        <v>0.004</v>
      </c>
      <c r="E264" s="29" t="n">
        <f aca="false">(2*'IR Calculator'!$C$5*'IR Calculator'!$C$6^2/((('IR Calculator'!C14+(254-0.5)*('IR Calculator'!C15-'IR Calculator'!C14)/MIN('IR Calculator'!C16,500))*0.000001)^5))/(EXP(MIN('IR Calculator'!$C$5*'IR Calculator'!$C$6/((('IR Calculator'!C14+(254-0.5)*('IR Calculator'!C15-'IR Calculator'!C14)/MIN('IR Calculator'!C16,500))*0.000001)*'IR Calculator'!$C$7*'IR Calculator'!$C$19),700))-1)*0.000001</f>
        <v>47.1249484793376</v>
      </c>
    </row>
    <row r="265" customFormat="false" ht="12.75" hidden="false" customHeight="true" outlineLevel="0" collapsed="false">
      <c r="B265" s="22" t="n">
        <v>255</v>
      </c>
      <c r="C265" s="23" t="n">
        <f aca="false">'IR Calculator'!C14+(255-0.5)*('IR Calculator'!C15-'IR Calculator'!C14)/MIN('IR Calculator'!C16,500)</f>
        <v>9.018</v>
      </c>
      <c r="D265" s="24" t="n">
        <f aca="false">('IR Calculator'!C15-'IR Calculator'!C14)/MIN('IR Calculator'!C16,500)</f>
        <v>0.004</v>
      </c>
      <c r="E265" s="25" t="n">
        <f aca="false">(2*'IR Calculator'!$C$5*'IR Calculator'!$C$6^2/((('IR Calculator'!C14+(255-0.5)*('IR Calculator'!C15-'IR Calculator'!C14)/MIN('IR Calculator'!C16,500))*0.000001)^5))/(EXP(MIN('IR Calculator'!$C$5*'IR Calculator'!$C$6/((('IR Calculator'!C14+(255-0.5)*('IR Calculator'!C15-'IR Calculator'!C14)/MIN('IR Calculator'!C16,500))*0.000001)*'IR Calculator'!$C$7*'IR Calculator'!$C$19),700))-1)*0.000001</f>
        <v>47.1011227812022</v>
      </c>
    </row>
    <row r="266" customFormat="false" ht="12.75" hidden="false" customHeight="true" outlineLevel="0" collapsed="false">
      <c r="B266" s="26" t="n">
        <v>256</v>
      </c>
      <c r="C266" s="27" t="n">
        <f aca="false">'IR Calculator'!C14+(256-0.5)*('IR Calculator'!C15-'IR Calculator'!C14)/MIN('IR Calculator'!C16,500)</f>
        <v>9.022</v>
      </c>
      <c r="D266" s="28" t="n">
        <f aca="false">('IR Calculator'!C15-'IR Calculator'!C14)/MIN('IR Calculator'!C16,500)</f>
        <v>0.004</v>
      </c>
      <c r="E266" s="29" t="n">
        <f aca="false">(2*'IR Calculator'!$C$5*'IR Calculator'!$C$6^2/((('IR Calculator'!C14+(256-0.5)*('IR Calculator'!C15-'IR Calculator'!C14)/MIN('IR Calculator'!C16,500))*0.000001)^5))/(EXP(MIN('IR Calculator'!$C$5*'IR Calculator'!$C$6/((('IR Calculator'!C14+(256-0.5)*('IR Calculator'!C15-'IR Calculator'!C14)/MIN('IR Calculator'!C16,500))*0.000001)*'IR Calculator'!$C$7*'IR Calculator'!$C$19),700))-1)*0.000001</f>
        <v>47.0772871270164</v>
      </c>
    </row>
    <row r="267" customFormat="false" ht="12.75" hidden="false" customHeight="true" outlineLevel="0" collapsed="false">
      <c r="B267" s="22" t="n">
        <v>257</v>
      </c>
      <c r="C267" s="23" t="n">
        <f aca="false">'IR Calculator'!C14+(257-0.5)*('IR Calculator'!C15-'IR Calculator'!C14)/MIN('IR Calculator'!C16,500)</f>
        <v>9.026</v>
      </c>
      <c r="D267" s="24" t="n">
        <f aca="false">('IR Calculator'!C15-'IR Calculator'!C14)/MIN('IR Calculator'!C16,500)</f>
        <v>0.004</v>
      </c>
      <c r="E267" s="25" t="n">
        <f aca="false">(2*'IR Calculator'!$C$5*'IR Calculator'!$C$6^2/((('IR Calculator'!C14+(257-0.5)*('IR Calculator'!C15-'IR Calculator'!C14)/MIN('IR Calculator'!C16,500))*0.000001)^5))/(EXP(MIN('IR Calculator'!$C$5*'IR Calculator'!$C$6/((('IR Calculator'!C14+(257-0.5)*('IR Calculator'!C15-'IR Calculator'!C14)/MIN('IR Calculator'!C16,500))*0.000001)*'IR Calculator'!$C$7*'IR Calculator'!$C$19),700))-1)*0.000001</f>
        <v>47.053441595167</v>
      </c>
    </row>
    <row r="268" customFormat="false" ht="12.75" hidden="false" customHeight="true" outlineLevel="0" collapsed="false">
      <c r="B268" s="26" t="n">
        <v>258</v>
      </c>
      <c r="C268" s="27" t="n">
        <f aca="false">'IR Calculator'!C14+(258-0.5)*('IR Calculator'!C15-'IR Calculator'!C14)/MIN('IR Calculator'!C16,500)</f>
        <v>9.03</v>
      </c>
      <c r="D268" s="28" t="n">
        <f aca="false">('IR Calculator'!C15-'IR Calculator'!C14)/MIN('IR Calculator'!C16,500)</f>
        <v>0.004</v>
      </c>
      <c r="E268" s="29" t="n">
        <f aca="false">(2*'IR Calculator'!$C$5*'IR Calculator'!$C$6^2/((('IR Calculator'!C14+(258-0.5)*('IR Calculator'!C15-'IR Calculator'!C14)/MIN('IR Calculator'!C16,500))*0.000001)^5))/(EXP(MIN('IR Calculator'!$C$5*'IR Calculator'!$C$6/((('IR Calculator'!C14+(258-0.5)*('IR Calculator'!C15-'IR Calculator'!C14)/MIN('IR Calculator'!C16,500))*0.000001)*'IR Calculator'!$C$7*'IR Calculator'!$C$19),700))-1)*0.000001</f>
        <v>47.0295862638266</v>
      </c>
    </row>
    <row r="269" customFormat="false" ht="12.75" hidden="false" customHeight="true" outlineLevel="0" collapsed="false">
      <c r="B269" s="22" t="n">
        <v>259</v>
      </c>
      <c r="C269" s="23" t="n">
        <f aca="false">'IR Calculator'!C14+(259-0.5)*('IR Calculator'!C15-'IR Calculator'!C14)/MIN('IR Calculator'!C16,500)</f>
        <v>9.034</v>
      </c>
      <c r="D269" s="24" t="n">
        <f aca="false">('IR Calculator'!C15-'IR Calculator'!C14)/MIN('IR Calculator'!C16,500)</f>
        <v>0.004</v>
      </c>
      <c r="E269" s="25" t="n">
        <f aca="false">(2*'IR Calculator'!$C$5*'IR Calculator'!$C$6^2/((('IR Calculator'!C14+(259-0.5)*('IR Calculator'!C15-'IR Calculator'!C14)/MIN('IR Calculator'!C16,500))*0.000001)^5))/(EXP(MIN('IR Calculator'!$C$5*'IR Calculator'!$C$6/((('IR Calculator'!C14+(259-0.5)*('IR Calculator'!C15-'IR Calculator'!C14)/MIN('IR Calculator'!C16,500))*0.000001)*'IR Calculator'!$C$7*'IR Calculator'!$C$19),700))-1)*0.000001</f>
        <v>47.0057212109541</v>
      </c>
    </row>
    <row r="270" customFormat="false" ht="12.75" hidden="false" customHeight="true" outlineLevel="0" collapsed="false">
      <c r="B270" s="26" t="n">
        <v>260</v>
      </c>
      <c r="C270" s="27" t="n">
        <f aca="false">'IR Calculator'!C14+(260-0.5)*('IR Calculator'!C15-'IR Calculator'!C14)/MIN('IR Calculator'!C16,500)</f>
        <v>9.038</v>
      </c>
      <c r="D270" s="28" t="n">
        <f aca="false">('IR Calculator'!C15-'IR Calculator'!C14)/MIN('IR Calculator'!C16,500)</f>
        <v>0.004</v>
      </c>
      <c r="E270" s="29" t="n">
        <f aca="false">(2*'IR Calculator'!$C$5*'IR Calculator'!$C$6^2/((('IR Calculator'!C14+(260-0.5)*('IR Calculator'!C15-'IR Calculator'!C14)/MIN('IR Calculator'!C16,500))*0.000001)^5))/(EXP(MIN('IR Calculator'!$C$5*'IR Calculator'!$C$6/((('IR Calculator'!C14+(260-0.5)*('IR Calculator'!C15-'IR Calculator'!C14)/MIN('IR Calculator'!C16,500))*0.000001)*'IR Calculator'!$C$7*'IR Calculator'!$C$19),700))-1)*0.000001</f>
        <v>46.981846514295</v>
      </c>
    </row>
    <row r="271" customFormat="false" ht="12.75" hidden="false" customHeight="true" outlineLevel="0" collapsed="false">
      <c r="B271" s="22" t="n">
        <v>261</v>
      </c>
      <c r="C271" s="23" t="n">
        <f aca="false">'IR Calculator'!C14+(261-0.5)*('IR Calculator'!C15-'IR Calculator'!C14)/MIN('IR Calculator'!C16,500)</f>
        <v>9.042</v>
      </c>
      <c r="D271" s="24" t="n">
        <f aca="false">('IR Calculator'!C15-'IR Calculator'!C14)/MIN('IR Calculator'!C16,500)</f>
        <v>0.004</v>
      </c>
      <c r="E271" s="25" t="n">
        <f aca="false">(2*'IR Calculator'!$C$5*'IR Calculator'!$C$6^2/((('IR Calculator'!C14+(261-0.5)*('IR Calculator'!C15-'IR Calculator'!C14)/MIN('IR Calculator'!C16,500))*0.000001)^5))/(EXP(MIN('IR Calculator'!$C$5*'IR Calculator'!$C$6/((('IR Calculator'!C14+(261-0.5)*('IR Calculator'!C15-'IR Calculator'!C14)/MIN('IR Calculator'!C16,500))*0.000001)*'IR Calculator'!$C$7*'IR Calculator'!$C$19),700))-1)*0.000001</f>
        <v>46.9579622513818</v>
      </c>
    </row>
    <row r="272" customFormat="false" ht="12.75" hidden="false" customHeight="true" outlineLevel="0" collapsed="false">
      <c r="B272" s="26" t="n">
        <v>262</v>
      </c>
      <c r="C272" s="27" t="n">
        <f aca="false">'IR Calculator'!C14+(262-0.5)*('IR Calculator'!C15-'IR Calculator'!C14)/MIN('IR Calculator'!C16,500)</f>
        <v>9.046</v>
      </c>
      <c r="D272" s="28" t="n">
        <f aca="false">('IR Calculator'!C15-'IR Calculator'!C14)/MIN('IR Calculator'!C16,500)</f>
        <v>0.004</v>
      </c>
      <c r="E272" s="29" t="n">
        <f aca="false">(2*'IR Calculator'!$C$5*'IR Calculator'!$C$6^2/((('IR Calculator'!C14+(262-0.5)*('IR Calculator'!C15-'IR Calculator'!C14)/MIN('IR Calculator'!C16,500))*0.000001)^5))/(EXP(MIN('IR Calculator'!$C$5*'IR Calculator'!$C$6/((('IR Calculator'!C14+(262-0.5)*('IR Calculator'!C15-'IR Calculator'!C14)/MIN('IR Calculator'!C16,500))*0.000001)*'IR Calculator'!$C$7*'IR Calculator'!$C$19),700))-1)*0.000001</f>
        <v>46.9340684995345</v>
      </c>
    </row>
    <row r="273" customFormat="false" ht="12.75" hidden="false" customHeight="true" outlineLevel="0" collapsed="false">
      <c r="B273" s="22" t="n">
        <v>263</v>
      </c>
      <c r="C273" s="23" t="n">
        <f aca="false">'IR Calculator'!C14+(263-0.5)*('IR Calculator'!C15-'IR Calculator'!C14)/MIN('IR Calculator'!C16,500)</f>
        <v>9.05</v>
      </c>
      <c r="D273" s="24" t="n">
        <f aca="false">('IR Calculator'!C15-'IR Calculator'!C14)/MIN('IR Calculator'!C16,500)</f>
        <v>0.004</v>
      </c>
      <c r="E273" s="25" t="n">
        <f aca="false">(2*'IR Calculator'!$C$5*'IR Calculator'!$C$6^2/((('IR Calculator'!C14+(263-0.5)*('IR Calculator'!C15-'IR Calculator'!C14)/MIN('IR Calculator'!C16,500))*0.000001)^5))/(EXP(MIN('IR Calculator'!$C$5*'IR Calculator'!$C$6/((('IR Calculator'!C14+(263-0.5)*('IR Calculator'!C15-'IR Calculator'!C14)/MIN('IR Calculator'!C16,500))*0.000001)*'IR Calculator'!$C$7*'IR Calculator'!$C$19),700))-1)*0.000001</f>
        <v>46.9101653358606</v>
      </c>
    </row>
    <row r="274" customFormat="false" ht="12.75" hidden="false" customHeight="true" outlineLevel="0" collapsed="false">
      <c r="B274" s="26" t="n">
        <v>264</v>
      </c>
      <c r="C274" s="27" t="n">
        <f aca="false">'IR Calculator'!C14+(264-0.5)*('IR Calculator'!C15-'IR Calculator'!C14)/MIN('IR Calculator'!C16,500)</f>
        <v>9.054</v>
      </c>
      <c r="D274" s="28" t="n">
        <f aca="false">('IR Calculator'!C15-'IR Calculator'!C14)/MIN('IR Calculator'!C16,500)</f>
        <v>0.004</v>
      </c>
      <c r="E274" s="29" t="n">
        <f aca="false">(2*'IR Calculator'!$C$5*'IR Calculator'!$C$6^2/((('IR Calculator'!C14+(264-0.5)*('IR Calculator'!C15-'IR Calculator'!C14)/MIN('IR Calculator'!C16,500))*0.000001)^5))/(EXP(MIN('IR Calculator'!$C$5*'IR Calculator'!$C$6/((('IR Calculator'!C14+(264-0.5)*('IR Calculator'!C15-'IR Calculator'!C14)/MIN('IR Calculator'!C16,500))*0.000001)*'IR Calculator'!$C$7*'IR Calculator'!$C$19),700))-1)*0.000001</f>
        <v>46.8862528372564</v>
      </c>
    </row>
    <row r="275" customFormat="false" ht="12.75" hidden="false" customHeight="true" outlineLevel="0" collapsed="false">
      <c r="B275" s="22" t="n">
        <v>265</v>
      </c>
      <c r="C275" s="23" t="n">
        <f aca="false">'IR Calculator'!C14+(265-0.5)*('IR Calculator'!C15-'IR Calculator'!C14)/MIN('IR Calculator'!C16,500)</f>
        <v>9.058</v>
      </c>
      <c r="D275" s="24" t="n">
        <f aca="false">('IR Calculator'!C15-'IR Calculator'!C14)/MIN('IR Calculator'!C16,500)</f>
        <v>0.004</v>
      </c>
      <c r="E275" s="25" t="n">
        <f aca="false">(2*'IR Calculator'!$C$5*'IR Calculator'!$C$6^2/((('IR Calculator'!C14+(265-0.5)*('IR Calculator'!C15-'IR Calculator'!C14)/MIN('IR Calculator'!C16,500))*0.000001)^5))/(EXP(MIN('IR Calculator'!$C$5*'IR Calculator'!$C$6/((('IR Calculator'!C14+(265-0.5)*('IR Calculator'!C15-'IR Calculator'!C14)/MIN('IR Calculator'!C16,500))*0.000001)*'IR Calculator'!$C$7*'IR Calculator'!$C$19),700))-1)*0.000001</f>
        <v>46.8623310804063</v>
      </c>
    </row>
    <row r="276" customFormat="false" ht="12.75" hidden="false" customHeight="true" outlineLevel="0" collapsed="false">
      <c r="B276" s="26" t="n">
        <v>266</v>
      </c>
      <c r="C276" s="27" t="n">
        <f aca="false">'IR Calculator'!C14+(266-0.5)*('IR Calculator'!C15-'IR Calculator'!C14)/MIN('IR Calculator'!C16,500)</f>
        <v>9.062</v>
      </c>
      <c r="D276" s="28" t="n">
        <f aca="false">('IR Calculator'!C15-'IR Calculator'!C14)/MIN('IR Calculator'!C16,500)</f>
        <v>0.004</v>
      </c>
      <c r="E276" s="29" t="n">
        <f aca="false">(2*'IR Calculator'!$C$5*'IR Calculator'!$C$6^2/((('IR Calculator'!C14+(266-0.5)*('IR Calculator'!C15-'IR Calculator'!C14)/MIN('IR Calculator'!C16,500))*0.000001)^5))/(EXP(MIN('IR Calculator'!$C$5*'IR Calculator'!$C$6/((('IR Calculator'!C14+(266-0.5)*('IR Calculator'!C15-'IR Calculator'!C14)/MIN('IR Calculator'!C16,500))*0.000001)*'IR Calculator'!$C$7*'IR Calculator'!$C$19),700))-1)*0.000001</f>
        <v>46.8384001417837</v>
      </c>
    </row>
    <row r="277" customFormat="false" ht="12.75" hidden="false" customHeight="true" outlineLevel="0" collapsed="false">
      <c r="B277" s="22" t="n">
        <v>267</v>
      </c>
      <c r="C277" s="23" t="n">
        <f aca="false">'IR Calculator'!C14+(267-0.5)*('IR Calculator'!C15-'IR Calculator'!C14)/MIN('IR Calculator'!C16,500)</f>
        <v>9.066</v>
      </c>
      <c r="D277" s="24" t="n">
        <f aca="false">('IR Calculator'!C15-'IR Calculator'!C14)/MIN('IR Calculator'!C16,500)</f>
        <v>0.004</v>
      </c>
      <c r="E277" s="25" t="n">
        <f aca="false">(2*'IR Calculator'!$C$5*'IR Calculator'!$C$6^2/((('IR Calculator'!C14+(267-0.5)*('IR Calculator'!C15-'IR Calculator'!C14)/MIN('IR Calculator'!C16,500))*0.000001)^5))/(EXP(MIN('IR Calculator'!$C$5*'IR Calculator'!$C$6/((('IR Calculator'!C14+(267-0.5)*('IR Calculator'!C15-'IR Calculator'!C14)/MIN('IR Calculator'!C16,500))*0.000001)*'IR Calculator'!$C$7*'IR Calculator'!$C$19),700))-1)*0.000001</f>
        <v>46.8144600976516</v>
      </c>
    </row>
    <row r="278" customFormat="false" ht="12.75" hidden="false" customHeight="true" outlineLevel="0" collapsed="false">
      <c r="B278" s="26" t="n">
        <v>268</v>
      </c>
      <c r="C278" s="27" t="n">
        <f aca="false">'IR Calculator'!C14+(268-0.5)*('IR Calculator'!C15-'IR Calculator'!C14)/MIN('IR Calculator'!C16,500)</f>
        <v>9.07</v>
      </c>
      <c r="D278" s="28" t="n">
        <f aca="false">('IR Calculator'!C15-'IR Calculator'!C14)/MIN('IR Calculator'!C16,500)</f>
        <v>0.004</v>
      </c>
      <c r="E278" s="29" t="n">
        <f aca="false">(2*'IR Calculator'!$C$5*'IR Calculator'!$C$6^2/((('IR Calculator'!C14+(268-0.5)*('IR Calculator'!C15-'IR Calculator'!C14)/MIN('IR Calculator'!C16,500))*0.000001)^5))/(EXP(MIN('IR Calculator'!$C$5*'IR Calculator'!$C$6/((('IR Calculator'!C14+(268-0.5)*('IR Calculator'!C15-'IR Calculator'!C14)/MIN('IR Calculator'!C16,500))*0.000001)*'IR Calculator'!$C$7*'IR Calculator'!$C$19),700))-1)*0.000001</f>
        <v>46.7905110240628</v>
      </c>
    </row>
    <row r="279" customFormat="false" ht="12.75" hidden="false" customHeight="true" outlineLevel="0" collapsed="false">
      <c r="B279" s="22" t="n">
        <v>269</v>
      </c>
      <c r="C279" s="23" t="n">
        <f aca="false">'IR Calculator'!C14+(269-0.5)*('IR Calculator'!C15-'IR Calculator'!C14)/MIN('IR Calculator'!C16,500)</f>
        <v>9.074</v>
      </c>
      <c r="D279" s="24" t="n">
        <f aca="false">('IR Calculator'!C15-'IR Calculator'!C14)/MIN('IR Calculator'!C16,500)</f>
        <v>0.004</v>
      </c>
      <c r="E279" s="25" t="n">
        <f aca="false">(2*'IR Calculator'!$C$5*'IR Calculator'!$C$6^2/((('IR Calculator'!C14+(269-0.5)*('IR Calculator'!C15-'IR Calculator'!C14)/MIN('IR Calculator'!C16,500))*0.000001)^5))/(EXP(MIN('IR Calculator'!$C$5*'IR Calculator'!$C$6/((('IR Calculator'!C14+(269-0.5)*('IR Calculator'!C15-'IR Calculator'!C14)/MIN('IR Calculator'!C16,500))*0.000001)*'IR Calculator'!$C$7*'IR Calculator'!$C$19),700))-1)*0.000001</f>
        <v>46.76655299686</v>
      </c>
    </row>
    <row r="280" customFormat="false" ht="12.75" hidden="false" customHeight="true" outlineLevel="0" collapsed="false">
      <c r="B280" s="26" t="n">
        <v>270</v>
      </c>
      <c r="C280" s="27" t="n">
        <f aca="false">'IR Calculator'!C14+(270-0.5)*('IR Calculator'!C15-'IR Calculator'!C14)/MIN('IR Calculator'!C16,500)</f>
        <v>9.078</v>
      </c>
      <c r="D280" s="28" t="n">
        <f aca="false">('IR Calculator'!C15-'IR Calculator'!C14)/MIN('IR Calculator'!C16,500)</f>
        <v>0.004</v>
      </c>
      <c r="E280" s="29" t="n">
        <f aca="false">(2*'IR Calculator'!$C$5*'IR Calculator'!$C$6^2/((('IR Calculator'!C14+(270-0.5)*('IR Calculator'!C15-'IR Calculator'!C14)/MIN('IR Calculator'!C16,500))*0.000001)^5))/(EXP(MIN('IR Calculator'!$C$5*'IR Calculator'!$C$6/((('IR Calculator'!C14+(270-0.5)*('IR Calculator'!C15-'IR Calculator'!C14)/MIN('IR Calculator'!C16,500))*0.000001)*'IR Calculator'!$C$7*'IR Calculator'!$C$19),700))-1)*0.000001</f>
        <v>46.7425860916767</v>
      </c>
    </row>
    <row r="281" customFormat="false" ht="12.75" hidden="false" customHeight="true" outlineLevel="0" collapsed="false">
      <c r="B281" s="22" t="n">
        <v>271</v>
      </c>
      <c r="C281" s="23" t="n">
        <f aca="false">'IR Calculator'!C14+(271-0.5)*('IR Calculator'!C15-'IR Calculator'!C14)/MIN('IR Calculator'!C16,500)</f>
        <v>9.082</v>
      </c>
      <c r="D281" s="24" t="n">
        <f aca="false">('IR Calculator'!C15-'IR Calculator'!C14)/MIN('IR Calculator'!C16,500)</f>
        <v>0.004</v>
      </c>
      <c r="E281" s="25" t="n">
        <f aca="false">(2*'IR Calculator'!$C$5*'IR Calculator'!$C$6^2/((('IR Calculator'!C14+(271-0.5)*('IR Calculator'!C15-'IR Calculator'!C14)/MIN('IR Calculator'!C16,500))*0.000001)^5))/(EXP(MIN('IR Calculator'!$C$5*'IR Calculator'!$C$6/((('IR Calculator'!C14+(271-0.5)*('IR Calculator'!C15-'IR Calculator'!C14)/MIN('IR Calculator'!C16,500))*0.000001)*'IR Calculator'!$C$7*'IR Calculator'!$C$19),700))-1)*0.000001</f>
        <v>46.7186103839373</v>
      </c>
    </row>
    <row r="282" customFormat="false" ht="12.75" hidden="false" customHeight="true" outlineLevel="0" collapsed="false">
      <c r="B282" s="26" t="n">
        <v>272</v>
      </c>
      <c r="C282" s="27" t="n">
        <f aca="false">'IR Calculator'!C14+(272-0.5)*('IR Calculator'!C15-'IR Calculator'!C14)/MIN('IR Calculator'!C16,500)</f>
        <v>9.086</v>
      </c>
      <c r="D282" s="28" t="n">
        <f aca="false">('IR Calculator'!C15-'IR Calculator'!C14)/MIN('IR Calculator'!C16,500)</f>
        <v>0.004</v>
      </c>
      <c r="E282" s="29" t="n">
        <f aca="false">(2*'IR Calculator'!$C$5*'IR Calculator'!$C$6^2/((('IR Calculator'!C14+(272-0.5)*('IR Calculator'!C15-'IR Calculator'!C14)/MIN('IR Calculator'!C16,500))*0.000001)^5))/(EXP(MIN('IR Calculator'!$C$5*'IR Calculator'!$C$6/((('IR Calculator'!C14+(272-0.5)*('IR Calculator'!C15-'IR Calculator'!C14)/MIN('IR Calculator'!C16,500))*0.000001)*'IR Calculator'!$C$7*'IR Calculator'!$C$19),700))-1)*0.000001</f>
        <v>46.6946259488575</v>
      </c>
    </row>
    <row r="283" customFormat="false" ht="12.75" hidden="false" customHeight="true" outlineLevel="0" collapsed="false">
      <c r="B283" s="22" t="n">
        <v>273</v>
      </c>
      <c r="C283" s="23" t="n">
        <f aca="false">'IR Calculator'!C14+(273-0.5)*('IR Calculator'!C15-'IR Calculator'!C14)/MIN('IR Calculator'!C16,500)</f>
        <v>9.09</v>
      </c>
      <c r="D283" s="24" t="n">
        <f aca="false">('IR Calculator'!C15-'IR Calculator'!C14)/MIN('IR Calculator'!C16,500)</f>
        <v>0.004</v>
      </c>
      <c r="E283" s="25" t="n">
        <f aca="false">(2*'IR Calculator'!$C$5*'IR Calculator'!$C$6^2/((('IR Calculator'!C14+(273-0.5)*('IR Calculator'!C15-'IR Calculator'!C14)/MIN('IR Calculator'!C16,500))*0.000001)^5))/(EXP(MIN('IR Calculator'!$C$5*'IR Calculator'!$C$6/((('IR Calculator'!C14+(273-0.5)*('IR Calculator'!C15-'IR Calculator'!C14)/MIN('IR Calculator'!C16,500))*0.000001)*'IR Calculator'!$C$7*'IR Calculator'!$C$19),700))-1)*0.000001</f>
        <v>46.6706328614447</v>
      </c>
    </row>
    <row r="284" customFormat="false" ht="12.75" hidden="false" customHeight="true" outlineLevel="0" collapsed="false">
      <c r="B284" s="26" t="n">
        <v>274</v>
      </c>
      <c r="C284" s="27" t="n">
        <f aca="false">'IR Calculator'!C14+(274-0.5)*('IR Calculator'!C15-'IR Calculator'!C14)/MIN('IR Calculator'!C16,500)</f>
        <v>9.094</v>
      </c>
      <c r="D284" s="28" t="n">
        <f aca="false">('IR Calculator'!C15-'IR Calculator'!C14)/MIN('IR Calculator'!C16,500)</f>
        <v>0.004</v>
      </c>
      <c r="E284" s="29" t="n">
        <f aca="false">(2*'IR Calculator'!$C$5*'IR Calculator'!$C$6^2/((('IR Calculator'!C14+(274-0.5)*('IR Calculator'!C15-'IR Calculator'!C14)/MIN('IR Calculator'!C16,500))*0.000001)^5))/(EXP(MIN('IR Calculator'!$C$5*'IR Calculator'!$C$6/((('IR Calculator'!C14+(274-0.5)*('IR Calculator'!C15-'IR Calculator'!C14)/MIN('IR Calculator'!C16,500))*0.000001)*'IR Calculator'!$C$7*'IR Calculator'!$C$19),700))-1)*0.000001</f>
        <v>46.6466311964985</v>
      </c>
    </row>
    <row r="285" customFormat="false" ht="12.75" hidden="false" customHeight="true" outlineLevel="0" collapsed="false">
      <c r="B285" s="22" t="n">
        <v>275</v>
      </c>
      <c r="C285" s="23" t="n">
        <f aca="false">'IR Calculator'!C14+(275-0.5)*('IR Calculator'!C15-'IR Calculator'!C14)/MIN('IR Calculator'!C16,500)</f>
        <v>9.098</v>
      </c>
      <c r="D285" s="24" t="n">
        <f aca="false">('IR Calculator'!C15-'IR Calculator'!C14)/MIN('IR Calculator'!C16,500)</f>
        <v>0.004</v>
      </c>
      <c r="E285" s="25" t="n">
        <f aca="false">(2*'IR Calculator'!$C$5*'IR Calculator'!$C$6^2/((('IR Calculator'!C14+(275-0.5)*('IR Calculator'!C15-'IR Calculator'!C14)/MIN('IR Calculator'!C16,500))*0.000001)^5))/(EXP(MIN('IR Calculator'!$C$5*'IR Calculator'!$C$6/((('IR Calculator'!C14+(275-0.5)*('IR Calculator'!C15-'IR Calculator'!C14)/MIN('IR Calculator'!C16,500))*0.000001)*'IR Calculator'!$C$7*'IR Calculator'!$C$19),700))-1)*0.000001</f>
        <v>46.6226210286112</v>
      </c>
    </row>
    <row r="286" customFormat="false" ht="12.75" hidden="false" customHeight="true" outlineLevel="0" collapsed="false">
      <c r="B286" s="26" t="n">
        <v>276</v>
      </c>
      <c r="C286" s="27" t="n">
        <f aca="false">'IR Calculator'!C14+(276-0.5)*('IR Calculator'!C15-'IR Calculator'!C14)/MIN('IR Calculator'!C16,500)</f>
        <v>9.102</v>
      </c>
      <c r="D286" s="28" t="n">
        <f aca="false">('IR Calculator'!C15-'IR Calculator'!C14)/MIN('IR Calculator'!C16,500)</f>
        <v>0.004</v>
      </c>
      <c r="E286" s="29" t="n">
        <f aca="false">(2*'IR Calculator'!$C$5*'IR Calculator'!$C$6^2/((('IR Calculator'!C14+(276-0.5)*('IR Calculator'!C15-'IR Calculator'!C14)/MIN('IR Calculator'!C16,500))*0.000001)^5))/(EXP(MIN('IR Calculator'!$C$5*'IR Calculator'!$C$6/((('IR Calculator'!C14+(276-0.5)*('IR Calculator'!C15-'IR Calculator'!C14)/MIN('IR Calculator'!C16,500))*0.000001)*'IR Calculator'!$C$7*'IR Calculator'!$C$19),700))-1)*0.000001</f>
        <v>46.5986024321675</v>
      </c>
    </row>
    <row r="287" customFormat="false" ht="12.75" hidden="false" customHeight="true" outlineLevel="0" collapsed="false">
      <c r="B287" s="22" t="n">
        <v>277</v>
      </c>
      <c r="C287" s="23" t="n">
        <f aca="false">'IR Calculator'!C14+(277-0.5)*('IR Calculator'!C15-'IR Calculator'!C14)/MIN('IR Calculator'!C16,500)</f>
        <v>9.106</v>
      </c>
      <c r="D287" s="24" t="n">
        <f aca="false">('IR Calculator'!C15-'IR Calculator'!C14)/MIN('IR Calculator'!C16,500)</f>
        <v>0.004</v>
      </c>
      <c r="E287" s="25" t="n">
        <f aca="false">(2*'IR Calculator'!$C$5*'IR Calculator'!$C$6^2/((('IR Calculator'!C14+(277-0.5)*('IR Calculator'!C15-'IR Calculator'!C14)/MIN('IR Calculator'!C16,500))*0.000001)^5))/(EXP(MIN('IR Calculator'!$C$5*'IR Calculator'!$C$6/((('IR Calculator'!C14+(277-0.5)*('IR Calculator'!C15-'IR Calculator'!C14)/MIN('IR Calculator'!C16,500))*0.000001)*'IR Calculator'!$C$7*'IR Calculator'!$C$19),700))-1)*0.000001</f>
        <v>46.574575481346</v>
      </c>
    </row>
    <row r="288" customFormat="false" ht="12.75" hidden="false" customHeight="true" outlineLevel="0" collapsed="false">
      <c r="B288" s="26" t="n">
        <v>278</v>
      </c>
      <c r="C288" s="27" t="n">
        <f aca="false">'IR Calculator'!C14+(278-0.5)*('IR Calculator'!C15-'IR Calculator'!C14)/MIN('IR Calculator'!C16,500)</f>
        <v>9.11</v>
      </c>
      <c r="D288" s="28" t="n">
        <f aca="false">('IR Calculator'!C15-'IR Calculator'!C14)/MIN('IR Calculator'!C16,500)</f>
        <v>0.004</v>
      </c>
      <c r="E288" s="29" t="n">
        <f aca="false">(2*'IR Calculator'!$C$5*'IR Calculator'!$C$6^2/((('IR Calculator'!C14+(278-0.5)*('IR Calculator'!C15-'IR Calculator'!C14)/MIN('IR Calculator'!C16,500))*0.000001)^5))/(EXP(MIN('IR Calculator'!$C$5*'IR Calculator'!$C$6/((('IR Calculator'!C14+(278-0.5)*('IR Calculator'!C15-'IR Calculator'!C14)/MIN('IR Calculator'!C16,500))*0.000001)*'IR Calculator'!$C$7*'IR Calculator'!$C$19),700))-1)*0.000001</f>
        <v>46.5505402501186</v>
      </c>
    </row>
    <row r="289" customFormat="false" ht="12.75" hidden="false" customHeight="true" outlineLevel="0" collapsed="false">
      <c r="B289" s="22" t="n">
        <v>279</v>
      </c>
      <c r="C289" s="23" t="n">
        <f aca="false">'IR Calculator'!C14+(279-0.5)*('IR Calculator'!C15-'IR Calculator'!C14)/MIN('IR Calculator'!C16,500)</f>
        <v>9.114</v>
      </c>
      <c r="D289" s="24" t="n">
        <f aca="false">('IR Calculator'!C15-'IR Calculator'!C14)/MIN('IR Calculator'!C16,500)</f>
        <v>0.004</v>
      </c>
      <c r="E289" s="25" t="n">
        <f aca="false">(2*'IR Calculator'!$C$5*'IR Calculator'!$C$6^2/((('IR Calculator'!C14+(279-0.5)*('IR Calculator'!C15-'IR Calculator'!C14)/MIN('IR Calculator'!C16,500))*0.000001)^5))/(EXP(MIN('IR Calculator'!$C$5*'IR Calculator'!$C$6/((('IR Calculator'!C14+(279-0.5)*('IR Calculator'!C15-'IR Calculator'!C14)/MIN('IR Calculator'!C16,500))*0.000001)*'IR Calculator'!$C$7*'IR Calculator'!$C$19),700))-1)*0.000001</f>
        <v>46.5264968122515</v>
      </c>
    </row>
    <row r="290" customFormat="false" ht="12.75" hidden="false" customHeight="true" outlineLevel="0" collapsed="false">
      <c r="B290" s="26" t="n">
        <v>280</v>
      </c>
      <c r="C290" s="27" t="n">
        <f aca="false">'IR Calculator'!C14+(280-0.5)*('IR Calculator'!C15-'IR Calculator'!C14)/MIN('IR Calculator'!C16,500)</f>
        <v>9.118</v>
      </c>
      <c r="D290" s="28" t="n">
        <f aca="false">('IR Calculator'!C15-'IR Calculator'!C14)/MIN('IR Calculator'!C16,500)</f>
        <v>0.004</v>
      </c>
      <c r="E290" s="29" t="n">
        <f aca="false">(2*'IR Calculator'!$C$5*'IR Calculator'!$C$6^2/((('IR Calculator'!C14+(280-0.5)*('IR Calculator'!C15-'IR Calculator'!C14)/MIN('IR Calculator'!C16,500))*0.000001)^5))/(EXP(MIN('IR Calculator'!$C$5*'IR Calculator'!$C$6/((('IR Calculator'!C14+(280-0.5)*('IR Calculator'!C15-'IR Calculator'!C14)/MIN('IR Calculator'!C16,500))*0.000001)*'IR Calculator'!$C$7*'IR Calculator'!$C$19),700))-1)*0.000001</f>
        <v>46.5024452413052</v>
      </c>
    </row>
    <row r="291" customFormat="false" ht="12.75" hidden="false" customHeight="true" outlineLevel="0" collapsed="false">
      <c r="B291" s="22" t="n">
        <v>281</v>
      </c>
      <c r="C291" s="23" t="n">
        <f aca="false">'IR Calculator'!C14+(281-0.5)*('IR Calculator'!C15-'IR Calculator'!C14)/MIN('IR Calculator'!C16,500)</f>
        <v>9.122</v>
      </c>
      <c r="D291" s="24" t="n">
        <f aca="false">('IR Calculator'!C15-'IR Calculator'!C14)/MIN('IR Calculator'!C16,500)</f>
        <v>0.004</v>
      </c>
      <c r="E291" s="25" t="n">
        <f aca="false">(2*'IR Calculator'!$C$5*'IR Calculator'!$C$6^2/((('IR Calculator'!C14+(281-0.5)*('IR Calculator'!C15-'IR Calculator'!C14)/MIN('IR Calculator'!C16,500))*0.000001)^5))/(EXP(MIN('IR Calculator'!$C$5*'IR Calculator'!$C$6/((('IR Calculator'!C14+(281-0.5)*('IR Calculator'!C15-'IR Calculator'!C14)/MIN('IR Calculator'!C16,500))*0.000001)*'IR Calculator'!$C$7*'IR Calculator'!$C$19),700))-1)*0.000001</f>
        <v>46.4783856106353</v>
      </c>
    </row>
    <row r="292" customFormat="false" ht="12.75" hidden="false" customHeight="true" outlineLevel="0" collapsed="false">
      <c r="B292" s="26" t="n">
        <v>282</v>
      </c>
      <c r="C292" s="27" t="n">
        <f aca="false">'IR Calculator'!C14+(282-0.5)*('IR Calculator'!C15-'IR Calculator'!C14)/MIN('IR Calculator'!C16,500)</f>
        <v>9.126</v>
      </c>
      <c r="D292" s="28" t="n">
        <f aca="false">('IR Calculator'!C15-'IR Calculator'!C14)/MIN('IR Calculator'!C16,500)</f>
        <v>0.004</v>
      </c>
      <c r="E292" s="29" t="n">
        <f aca="false">(2*'IR Calculator'!$C$5*'IR Calculator'!$C$6^2/((('IR Calculator'!C14+(282-0.5)*('IR Calculator'!C15-'IR Calculator'!C14)/MIN('IR Calculator'!C16,500))*0.000001)^5))/(EXP(MIN('IR Calculator'!$C$5*'IR Calculator'!$C$6/((('IR Calculator'!C14+(282-0.5)*('IR Calculator'!C15-'IR Calculator'!C14)/MIN('IR Calculator'!C16,500))*0.000001)*'IR Calculator'!$C$7*'IR Calculator'!$C$19),700))-1)*0.000001</f>
        <v>46.4543179933925</v>
      </c>
    </row>
    <row r="293" customFormat="false" ht="12.75" hidden="false" customHeight="true" outlineLevel="0" collapsed="false">
      <c r="B293" s="22" t="n">
        <v>283</v>
      </c>
      <c r="C293" s="23" t="n">
        <f aca="false">'IR Calculator'!C14+(283-0.5)*('IR Calculator'!C15-'IR Calculator'!C14)/MIN('IR Calculator'!C16,500)</f>
        <v>9.13</v>
      </c>
      <c r="D293" s="24" t="n">
        <f aca="false">('IR Calculator'!C15-'IR Calculator'!C14)/MIN('IR Calculator'!C16,500)</f>
        <v>0.004</v>
      </c>
      <c r="E293" s="25" t="n">
        <f aca="false">(2*'IR Calculator'!$C$5*'IR Calculator'!$C$6^2/((('IR Calculator'!C14+(283-0.5)*('IR Calculator'!C15-'IR Calculator'!C14)/MIN('IR Calculator'!C16,500))*0.000001)^5))/(EXP(MIN('IR Calculator'!$C$5*'IR Calculator'!$C$6/((('IR Calculator'!C14+(283-0.5)*('IR Calculator'!C15-'IR Calculator'!C14)/MIN('IR Calculator'!C16,500))*0.000001)*'IR Calculator'!$C$7*'IR Calculator'!$C$19),700))-1)*0.000001</f>
        <v>46.4302424625232</v>
      </c>
    </row>
    <row r="294" customFormat="false" ht="12.75" hidden="false" customHeight="true" outlineLevel="0" collapsed="false">
      <c r="B294" s="26" t="n">
        <v>284</v>
      </c>
      <c r="C294" s="27" t="n">
        <f aca="false">'IR Calculator'!C14+(284-0.5)*('IR Calculator'!C15-'IR Calculator'!C14)/MIN('IR Calculator'!C16,500)</f>
        <v>9.134</v>
      </c>
      <c r="D294" s="28" t="n">
        <f aca="false">('IR Calculator'!C15-'IR Calculator'!C14)/MIN('IR Calculator'!C16,500)</f>
        <v>0.004</v>
      </c>
      <c r="E294" s="29" t="n">
        <f aca="false">(2*'IR Calculator'!$C$5*'IR Calculator'!$C$6^2/((('IR Calculator'!C14+(284-0.5)*('IR Calculator'!C15-'IR Calculator'!C14)/MIN('IR Calculator'!C16,500))*0.000001)^5))/(EXP(MIN('IR Calculator'!$C$5*'IR Calculator'!$C$6/((('IR Calculator'!C14+(284-0.5)*('IR Calculator'!C15-'IR Calculator'!C14)/MIN('IR Calculator'!C16,500))*0.000001)*'IR Calculator'!$C$7*'IR Calculator'!$C$19),700))-1)*0.000001</f>
        <v>46.4061590907698</v>
      </c>
    </row>
    <row r="295" customFormat="false" ht="12.75" hidden="false" customHeight="true" outlineLevel="0" collapsed="false">
      <c r="B295" s="22" t="n">
        <v>285</v>
      </c>
      <c r="C295" s="23" t="n">
        <f aca="false">'IR Calculator'!C14+(285-0.5)*('IR Calculator'!C15-'IR Calculator'!C14)/MIN('IR Calculator'!C16,500)</f>
        <v>9.138</v>
      </c>
      <c r="D295" s="24" t="n">
        <f aca="false">('IR Calculator'!C15-'IR Calculator'!C14)/MIN('IR Calculator'!C16,500)</f>
        <v>0.004</v>
      </c>
      <c r="E295" s="25" t="n">
        <f aca="false">(2*'IR Calculator'!$C$5*'IR Calculator'!$C$6^2/((('IR Calculator'!C14+(285-0.5)*('IR Calculator'!C15-'IR Calculator'!C14)/MIN('IR Calculator'!C16,500))*0.000001)^5))/(EXP(MIN('IR Calculator'!$C$5*'IR Calculator'!$C$6/((('IR Calculator'!C14+(285-0.5)*('IR Calculator'!C15-'IR Calculator'!C14)/MIN('IR Calculator'!C16,500))*0.000001)*'IR Calculator'!$C$7*'IR Calculator'!$C$19),700))-1)*0.000001</f>
        <v>46.3820679506713</v>
      </c>
    </row>
    <row r="296" customFormat="false" ht="12.75" hidden="false" customHeight="true" outlineLevel="0" collapsed="false">
      <c r="B296" s="26" t="n">
        <v>286</v>
      </c>
      <c r="C296" s="27" t="n">
        <f aca="false">'IR Calculator'!C14+(286-0.5)*('IR Calculator'!C15-'IR Calculator'!C14)/MIN('IR Calculator'!C16,500)</f>
        <v>9.142</v>
      </c>
      <c r="D296" s="28" t="n">
        <f aca="false">('IR Calculator'!C15-'IR Calculator'!C14)/MIN('IR Calculator'!C16,500)</f>
        <v>0.004</v>
      </c>
      <c r="E296" s="29" t="n">
        <f aca="false">(2*'IR Calculator'!$C$5*'IR Calculator'!$C$6^2/((('IR Calculator'!C14+(286-0.5)*('IR Calculator'!C15-'IR Calculator'!C14)/MIN('IR Calculator'!C16,500))*0.000001)^5))/(EXP(MIN('IR Calculator'!$C$5*'IR Calculator'!$C$6/((('IR Calculator'!C14+(286-0.5)*('IR Calculator'!C15-'IR Calculator'!C14)/MIN('IR Calculator'!C16,500))*0.000001)*'IR Calculator'!$C$7*'IR Calculator'!$C$19),700))-1)*0.000001</f>
        <v>46.3579691145633</v>
      </c>
    </row>
    <row r="297" customFormat="false" ht="12.75" hidden="false" customHeight="true" outlineLevel="0" collapsed="false">
      <c r="B297" s="22" t="n">
        <v>287</v>
      </c>
      <c r="C297" s="23" t="n">
        <f aca="false">'IR Calculator'!C14+(287-0.5)*('IR Calculator'!C15-'IR Calculator'!C14)/MIN('IR Calculator'!C16,500)</f>
        <v>9.146</v>
      </c>
      <c r="D297" s="24" t="n">
        <f aca="false">('IR Calculator'!C15-'IR Calculator'!C14)/MIN('IR Calculator'!C16,500)</f>
        <v>0.004</v>
      </c>
      <c r="E297" s="25" t="n">
        <f aca="false">(2*'IR Calculator'!$C$5*'IR Calculator'!$C$6^2/((('IR Calculator'!C14+(287-0.5)*('IR Calculator'!C15-'IR Calculator'!C14)/MIN('IR Calculator'!C16,500))*0.000001)^5))/(EXP(MIN('IR Calculator'!$C$5*'IR Calculator'!$C$6/((('IR Calculator'!C14+(287-0.5)*('IR Calculator'!C15-'IR Calculator'!C14)/MIN('IR Calculator'!C16,500))*0.000001)*'IR Calculator'!$C$7*'IR Calculator'!$C$19),700))-1)*0.000001</f>
        <v>46.3338626545786</v>
      </c>
    </row>
    <row r="298" customFormat="false" ht="12.75" hidden="false" customHeight="true" outlineLevel="0" collapsed="false">
      <c r="B298" s="26" t="n">
        <v>288</v>
      </c>
      <c r="C298" s="27" t="n">
        <f aca="false">'IR Calculator'!C14+(288-0.5)*('IR Calculator'!C15-'IR Calculator'!C14)/MIN('IR Calculator'!C16,500)</f>
        <v>9.15</v>
      </c>
      <c r="D298" s="28" t="n">
        <f aca="false">('IR Calculator'!C15-'IR Calculator'!C14)/MIN('IR Calculator'!C16,500)</f>
        <v>0.004</v>
      </c>
      <c r="E298" s="29" t="n">
        <f aca="false">(2*'IR Calculator'!$C$5*'IR Calculator'!$C$6^2/((('IR Calculator'!C14+(288-0.5)*('IR Calculator'!C15-'IR Calculator'!C14)/MIN('IR Calculator'!C16,500))*0.000001)^5))/(EXP(MIN('IR Calculator'!$C$5*'IR Calculator'!$C$6/((('IR Calculator'!C14+(288-0.5)*('IR Calculator'!C15-'IR Calculator'!C14)/MIN('IR Calculator'!C16,500))*0.000001)*'IR Calculator'!$C$7*'IR Calculator'!$C$19),700))-1)*0.000001</f>
        <v>46.309748642648</v>
      </c>
    </row>
    <row r="299" customFormat="false" ht="12.75" hidden="false" customHeight="true" outlineLevel="0" collapsed="false">
      <c r="B299" s="22" t="n">
        <v>289</v>
      </c>
      <c r="C299" s="23" t="n">
        <f aca="false">'IR Calculator'!C14+(289-0.5)*('IR Calculator'!C15-'IR Calculator'!C14)/MIN('IR Calculator'!C16,500)</f>
        <v>9.154</v>
      </c>
      <c r="D299" s="24" t="n">
        <f aca="false">('IR Calculator'!C15-'IR Calculator'!C14)/MIN('IR Calculator'!C16,500)</f>
        <v>0.004</v>
      </c>
      <c r="E299" s="25" t="n">
        <f aca="false">(2*'IR Calculator'!$C$5*'IR Calculator'!$C$6^2/((('IR Calculator'!C14+(289-0.5)*('IR Calculator'!C15-'IR Calculator'!C14)/MIN('IR Calculator'!C16,500))*0.000001)^5))/(EXP(MIN('IR Calculator'!$C$5*'IR Calculator'!$C$6/((('IR Calculator'!C14+(289-0.5)*('IR Calculator'!C15-'IR Calculator'!C14)/MIN('IR Calculator'!C16,500))*0.000001)*'IR Calculator'!$C$7*'IR Calculator'!$C$19),700))-1)*0.000001</f>
        <v>46.2856271504999</v>
      </c>
    </row>
    <row r="300" customFormat="false" ht="12.75" hidden="false" customHeight="true" outlineLevel="0" collapsed="false">
      <c r="B300" s="26" t="n">
        <v>290</v>
      </c>
      <c r="C300" s="27" t="n">
        <f aca="false">'IR Calculator'!C14+(290-0.5)*('IR Calculator'!C15-'IR Calculator'!C14)/MIN('IR Calculator'!C16,500)</f>
        <v>9.158</v>
      </c>
      <c r="D300" s="28" t="n">
        <f aca="false">('IR Calculator'!C15-'IR Calculator'!C14)/MIN('IR Calculator'!C16,500)</f>
        <v>0.004</v>
      </c>
      <c r="E300" s="29" t="n">
        <f aca="false">(2*'IR Calculator'!$C$5*'IR Calculator'!$C$6^2/((('IR Calculator'!C14+(290-0.5)*('IR Calculator'!C15-'IR Calculator'!C14)/MIN('IR Calculator'!C16,500))*0.000001)^5))/(EXP(MIN('IR Calculator'!$C$5*'IR Calculator'!$C$6/((('IR Calculator'!C14+(290-0.5)*('IR Calculator'!C15-'IR Calculator'!C14)/MIN('IR Calculator'!C16,500))*0.000001)*'IR Calculator'!$C$7*'IR Calculator'!$C$19),700))-1)*0.000001</f>
        <v>46.2614982496611</v>
      </c>
    </row>
    <row r="301" customFormat="false" ht="12.75" hidden="false" customHeight="true" outlineLevel="0" collapsed="false">
      <c r="B301" s="22" t="n">
        <v>291</v>
      </c>
      <c r="C301" s="23" t="n">
        <f aca="false">'IR Calculator'!C14+(291-0.5)*('IR Calculator'!C15-'IR Calculator'!C14)/MIN('IR Calculator'!C16,500)</f>
        <v>9.162</v>
      </c>
      <c r="D301" s="24" t="n">
        <f aca="false">('IR Calculator'!C15-'IR Calculator'!C14)/MIN('IR Calculator'!C16,500)</f>
        <v>0.004</v>
      </c>
      <c r="E301" s="25" t="n">
        <f aca="false">(2*'IR Calculator'!$C$5*'IR Calculator'!$C$6^2/((('IR Calculator'!C14+(291-0.5)*('IR Calculator'!C15-'IR Calculator'!C14)/MIN('IR Calculator'!C16,500))*0.000001)^5))/(EXP(MIN('IR Calculator'!$C$5*'IR Calculator'!$C$6/((('IR Calculator'!C14+(291-0.5)*('IR Calculator'!C15-'IR Calculator'!C14)/MIN('IR Calculator'!C16,500))*0.000001)*'IR Calculator'!$C$7*'IR Calculator'!$C$19),700))-1)*0.000001</f>
        <v>46.2373620114576</v>
      </c>
    </row>
    <row r="302" customFormat="false" ht="12.75" hidden="false" customHeight="true" outlineLevel="0" collapsed="false">
      <c r="B302" s="26" t="n">
        <v>292</v>
      </c>
      <c r="C302" s="27" t="n">
        <f aca="false">'IR Calculator'!C14+(292-0.5)*('IR Calculator'!C15-'IR Calculator'!C14)/MIN('IR Calculator'!C16,500)</f>
        <v>9.166</v>
      </c>
      <c r="D302" s="28" t="n">
        <f aca="false">('IR Calculator'!C15-'IR Calculator'!C14)/MIN('IR Calculator'!C16,500)</f>
        <v>0.004</v>
      </c>
      <c r="E302" s="29" t="n">
        <f aca="false">(2*'IR Calculator'!$C$5*'IR Calculator'!$C$6^2/((('IR Calculator'!C14+(292-0.5)*('IR Calculator'!C15-'IR Calculator'!C14)/MIN('IR Calculator'!C16,500))*0.000001)^5))/(EXP(MIN('IR Calculator'!$C$5*'IR Calculator'!$C$6/((('IR Calculator'!C14+(292-0.5)*('IR Calculator'!C15-'IR Calculator'!C14)/MIN('IR Calculator'!C16,500))*0.000001)*'IR Calculator'!$C$7*'IR Calculator'!$C$19),700))-1)*0.000001</f>
        <v>46.2132185070139</v>
      </c>
    </row>
    <row r="303" customFormat="false" ht="12.75" hidden="false" customHeight="true" outlineLevel="0" collapsed="false">
      <c r="B303" s="22" t="n">
        <v>293</v>
      </c>
      <c r="C303" s="23" t="n">
        <f aca="false">'IR Calculator'!C14+(293-0.5)*('IR Calculator'!C15-'IR Calculator'!C14)/MIN('IR Calculator'!C16,500)</f>
        <v>9.17</v>
      </c>
      <c r="D303" s="24" t="n">
        <f aca="false">('IR Calculator'!C15-'IR Calculator'!C14)/MIN('IR Calculator'!C16,500)</f>
        <v>0.004</v>
      </c>
      <c r="E303" s="25" t="n">
        <f aca="false">(2*'IR Calculator'!$C$5*'IR Calculator'!$C$6^2/((('IR Calculator'!C14+(293-0.5)*('IR Calculator'!C15-'IR Calculator'!C14)/MIN('IR Calculator'!C16,500))*0.000001)^5))/(EXP(MIN('IR Calculator'!$C$5*'IR Calculator'!$C$6/((('IR Calculator'!C14+(293-0.5)*('IR Calculator'!C15-'IR Calculator'!C14)/MIN('IR Calculator'!C16,500))*0.000001)*'IR Calculator'!$C$7*'IR Calculator'!$C$19),700))-1)*0.000001</f>
        <v>46.1890678072546</v>
      </c>
    </row>
    <row r="304" customFormat="false" ht="12.75" hidden="false" customHeight="true" outlineLevel="0" collapsed="false">
      <c r="B304" s="26" t="n">
        <v>294</v>
      </c>
      <c r="C304" s="27" t="n">
        <f aca="false">'IR Calculator'!C14+(294-0.5)*('IR Calculator'!C15-'IR Calculator'!C14)/MIN('IR Calculator'!C16,500)</f>
        <v>9.174</v>
      </c>
      <c r="D304" s="28" t="n">
        <f aca="false">('IR Calculator'!C15-'IR Calculator'!C14)/MIN('IR Calculator'!C16,500)</f>
        <v>0.004</v>
      </c>
      <c r="E304" s="29" t="n">
        <f aca="false">(2*'IR Calculator'!$C$5*'IR Calculator'!$C$6^2/((('IR Calculator'!C14+(294-0.5)*('IR Calculator'!C15-'IR Calculator'!C14)/MIN('IR Calculator'!C16,500))*0.000001)^5))/(EXP(MIN('IR Calculator'!$C$5*'IR Calculator'!$C$6/((('IR Calculator'!C14+(294-0.5)*('IR Calculator'!C15-'IR Calculator'!C14)/MIN('IR Calculator'!C16,500))*0.000001)*'IR Calculator'!$C$7*'IR Calculator'!$C$19),700))-1)*0.000001</f>
        <v>46.164909982904</v>
      </c>
    </row>
    <row r="305" customFormat="false" ht="12.75" hidden="false" customHeight="true" outlineLevel="0" collapsed="false">
      <c r="B305" s="22" t="n">
        <v>295</v>
      </c>
      <c r="C305" s="23" t="n">
        <f aca="false">'IR Calculator'!C14+(295-0.5)*('IR Calculator'!C15-'IR Calculator'!C14)/MIN('IR Calculator'!C16,500)</f>
        <v>9.178</v>
      </c>
      <c r="D305" s="24" t="n">
        <f aca="false">('IR Calculator'!C15-'IR Calculator'!C14)/MIN('IR Calculator'!C16,500)</f>
        <v>0.004</v>
      </c>
      <c r="E305" s="25" t="n">
        <f aca="false">(2*'IR Calculator'!$C$5*'IR Calculator'!$C$6^2/((('IR Calculator'!C14+(295-0.5)*('IR Calculator'!C15-'IR Calculator'!C14)/MIN('IR Calculator'!C16,500))*0.000001)^5))/(EXP(MIN('IR Calculator'!$C$5*'IR Calculator'!$C$6/((('IR Calculator'!C14+(295-0.5)*('IR Calculator'!C15-'IR Calculator'!C14)/MIN('IR Calculator'!C16,500))*0.000001)*'IR Calculator'!$C$7*'IR Calculator'!$C$19),700))-1)*0.000001</f>
        <v>46.1407451044869</v>
      </c>
    </row>
    <row r="306" customFormat="false" ht="12.75" hidden="false" customHeight="true" outlineLevel="0" collapsed="false">
      <c r="B306" s="26" t="n">
        <v>296</v>
      </c>
      <c r="C306" s="27" t="n">
        <f aca="false">'IR Calculator'!C14+(296-0.5)*('IR Calculator'!C15-'IR Calculator'!C14)/MIN('IR Calculator'!C16,500)</f>
        <v>9.182</v>
      </c>
      <c r="D306" s="28" t="n">
        <f aca="false">('IR Calculator'!C15-'IR Calculator'!C14)/MIN('IR Calculator'!C16,500)</f>
        <v>0.004</v>
      </c>
      <c r="E306" s="29" t="n">
        <f aca="false">(2*'IR Calculator'!$C$5*'IR Calculator'!$C$6^2/((('IR Calculator'!C14+(296-0.5)*('IR Calculator'!C15-'IR Calculator'!C14)/MIN('IR Calculator'!C16,500))*0.000001)^5))/(EXP(MIN('IR Calculator'!$C$5*'IR Calculator'!$C$6/((('IR Calculator'!C14+(296-0.5)*('IR Calculator'!C15-'IR Calculator'!C14)/MIN('IR Calculator'!C16,500))*0.000001)*'IR Calculator'!$C$7*'IR Calculator'!$C$19),700))-1)*0.000001</f>
        <v>46.1165732423285</v>
      </c>
    </row>
    <row r="307" customFormat="false" ht="12.75" hidden="false" customHeight="true" outlineLevel="0" collapsed="false">
      <c r="B307" s="22" t="n">
        <v>297</v>
      </c>
      <c r="C307" s="23" t="n">
        <f aca="false">'IR Calculator'!C14+(297-0.5)*('IR Calculator'!C15-'IR Calculator'!C14)/MIN('IR Calculator'!C16,500)</f>
        <v>9.186</v>
      </c>
      <c r="D307" s="24" t="n">
        <f aca="false">('IR Calculator'!C15-'IR Calculator'!C14)/MIN('IR Calculator'!C16,500)</f>
        <v>0.004</v>
      </c>
      <c r="E307" s="25" t="n">
        <f aca="false">(2*'IR Calculator'!$C$5*'IR Calculator'!$C$6^2/((('IR Calculator'!C14+(297-0.5)*('IR Calculator'!C15-'IR Calculator'!C14)/MIN('IR Calculator'!C16,500))*0.000001)^5))/(EXP(MIN('IR Calculator'!$C$5*'IR Calculator'!$C$6/((('IR Calculator'!C14+(297-0.5)*('IR Calculator'!C15-'IR Calculator'!C14)/MIN('IR Calculator'!C16,500))*0.000001)*'IR Calculator'!$C$7*'IR Calculator'!$C$19),700))-1)*0.000001</f>
        <v>46.0923944665555</v>
      </c>
    </row>
    <row r="308" customFormat="false" ht="12.75" hidden="false" customHeight="true" outlineLevel="0" collapsed="false">
      <c r="B308" s="26" t="n">
        <v>298</v>
      </c>
      <c r="C308" s="27" t="n">
        <f aca="false">'IR Calculator'!C14+(298-0.5)*('IR Calculator'!C15-'IR Calculator'!C14)/MIN('IR Calculator'!C16,500)</f>
        <v>9.19</v>
      </c>
      <c r="D308" s="28" t="n">
        <f aca="false">('IR Calculator'!C15-'IR Calculator'!C14)/MIN('IR Calculator'!C16,500)</f>
        <v>0.004</v>
      </c>
      <c r="E308" s="29" t="n">
        <f aca="false">(2*'IR Calculator'!$C$5*'IR Calculator'!$C$6^2/((('IR Calculator'!C14+(298-0.5)*('IR Calculator'!C15-'IR Calculator'!C14)/MIN('IR Calculator'!C16,500))*0.000001)^5))/(EXP(MIN('IR Calculator'!$C$5*'IR Calculator'!$C$6/((('IR Calculator'!C14+(298-0.5)*('IR Calculator'!C15-'IR Calculator'!C14)/MIN('IR Calculator'!C16,500))*0.000001)*'IR Calculator'!$C$7*'IR Calculator'!$C$19),700))-1)*0.000001</f>
        <v>46.0682088470958</v>
      </c>
    </row>
    <row r="309" customFormat="false" ht="12.75" hidden="false" customHeight="true" outlineLevel="0" collapsed="false">
      <c r="B309" s="22" t="n">
        <v>299</v>
      </c>
      <c r="C309" s="23" t="n">
        <f aca="false">'IR Calculator'!C14+(299-0.5)*('IR Calculator'!C15-'IR Calculator'!C14)/MIN('IR Calculator'!C16,500)</f>
        <v>9.194</v>
      </c>
      <c r="D309" s="24" t="n">
        <f aca="false">('IR Calculator'!C15-'IR Calculator'!C14)/MIN('IR Calculator'!C16,500)</f>
        <v>0.004</v>
      </c>
      <c r="E309" s="25" t="n">
        <f aca="false">(2*'IR Calculator'!$C$5*'IR Calculator'!$C$6^2/((('IR Calculator'!C14+(299-0.5)*('IR Calculator'!C15-'IR Calculator'!C14)/MIN('IR Calculator'!C16,500))*0.000001)^5))/(EXP(MIN('IR Calculator'!$C$5*'IR Calculator'!$C$6/((('IR Calculator'!C14+(299-0.5)*('IR Calculator'!C15-'IR Calculator'!C14)/MIN('IR Calculator'!C16,500))*0.000001)*'IR Calculator'!$C$7*'IR Calculator'!$C$19),700))-1)*0.000001</f>
        <v>46.0440164536794</v>
      </c>
    </row>
    <row r="310" customFormat="false" ht="12.75" hidden="false" customHeight="true" outlineLevel="0" collapsed="false">
      <c r="B310" s="26" t="n">
        <v>300</v>
      </c>
      <c r="C310" s="27" t="n">
        <f aca="false">'IR Calculator'!C14+(300-0.5)*('IR Calculator'!C15-'IR Calculator'!C14)/MIN('IR Calculator'!C16,500)</f>
        <v>9.198</v>
      </c>
      <c r="D310" s="28" t="n">
        <f aca="false">('IR Calculator'!C15-'IR Calculator'!C14)/MIN('IR Calculator'!C16,500)</f>
        <v>0.004</v>
      </c>
      <c r="E310" s="29" t="n">
        <f aca="false">(2*'IR Calculator'!$C$5*'IR Calculator'!$C$6^2/((('IR Calculator'!C14+(300-0.5)*('IR Calculator'!C15-'IR Calculator'!C14)/MIN('IR Calculator'!C16,500))*0.000001)^5))/(EXP(MIN('IR Calculator'!$C$5*'IR Calculator'!$C$6/((('IR Calculator'!C14+(300-0.5)*('IR Calculator'!C15-'IR Calculator'!C14)/MIN('IR Calculator'!C16,500))*0.000001)*'IR Calculator'!$C$7*'IR Calculator'!$C$19),700))-1)*0.000001</f>
        <v>46.0198173558383</v>
      </c>
    </row>
    <row r="311" customFormat="false" ht="12.75" hidden="false" customHeight="true" outlineLevel="0" collapsed="false">
      <c r="B311" s="22" t="n">
        <v>301</v>
      </c>
      <c r="C311" s="23" t="n">
        <f aca="false">'IR Calculator'!C14+(301-0.5)*('IR Calculator'!C15-'IR Calculator'!C14)/MIN('IR Calculator'!C16,500)</f>
        <v>9.202</v>
      </c>
      <c r="D311" s="24" t="n">
        <f aca="false">('IR Calculator'!C15-'IR Calculator'!C14)/MIN('IR Calculator'!C16,500)</f>
        <v>0.004</v>
      </c>
      <c r="E311" s="25" t="n">
        <f aca="false">(2*'IR Calculator'!$C$5*'IR Calculator'!$C$6^2/((('IR Calculator'!C14+(301-0.5)*('IR Calculator'!C15-'IR Calculator'!C14)/MIN('IR Calculator'!C16,500))*0.000001)^5))/(EXP(MIN('IR Calculator'!$C$5*'IR Calculator'!$C$6/((('IR Calculator'!C14+(301-0.5)*('IR Calculator'!C15-'IR Calculator'!C14)/MIN('IR Calculator'!C16,500))*0.000001)*'IR Calculator'!$C$7*'IR Calculator'!$C$19),700))-1)*0.000001</f>
        <v>45.9956116229075</v>
      </c>
    </row>
    <row r="312" customFormat="false" ht="12.75" hidden="false" customHeight="true" outlineLevel="0" collapsed="false">
      <c r="B312" s="26" t="n">
        <v>302</v>
      </c>
      <c r="C312" s="27" t="n">
        <f aca="false">'IR Calculator'!C14+(302-0.5)*('IR Calculator'!C15-'IR Calculator'!C14)/MIN('IR Calculator'!C16,500)</f>
        <v>9.206</v>
      </c>
      <c r="D312" s="28" t="n">
        <f aca="false">('IR Calculator'!C15-'IR Calculator'!C14)/MIN('IR Calculator'!C16,500)</f>
        <v>0.004</v>
      </c>
      <c r="E312" s="29" t="n">
        <f aca="false">(2*'IR Calculator'!$C$5*'IR Calculator'!$C$6^2/((('IR Calculator'!C14+(302-0.5)*('IR Calculator'!C15-'IR Calculator'!C14)/MIN('IR Calculator'!C16,500))*0.000001)^5))/(EXP(MIN('IR Calculator'!$C$5*'IR Calculator'!$C$6/((('IR Calculator'!C14+(302-0.5)*('IR Calculator'!C15-'IR Calculator'!C14)/MIN('IR Calculator'!C16,500))*0.000001)*'IR Calculator'!$C$7*'IR Calculator'!$C$19),700))-1)*0.000001</f>
        <v>45.9713993240248</v>
      </c>
    </row>
    <row r="313" customFormat="false" ht="12.75" hidden="false" customHeight="true" outlineLevel="0" collapsed="false">
      <c r="B313" s="22" t="n">
        <v>303</v>
      </c>
      <c r="C313" s="23" t="n">
        <f aca="false">'IR Calculator'!C14+(303-0.5)*('IR Calculator'!C15-'IR Calculator'!C14)/MIN('IR Calculator'!C16,500)</f>
        <v>9.21</v>
      </c>
      <c r="D313" s="24" t="n">
        <f aca="false">('IR Calculator'!C15-'IR Calculator'!C14)/MIN('IR Calculator'!C16,500)</f>
        <v>0.004</v>
      </c>
      <c r="E313" s="25" t="n">
        <f aca="false">(2*'IR Calculator'!$C$5*'IR Calculator'!$C$6^2/((('IR Calculator'!C14+(303-0.5)*('IR Calculator'!C15-'IR Calculator'!C14)/MIN('IR Calculator'!C16,500))*0.000001)^5))/(EXP(MIN('IR Calculator'!$C$5*'IR Calculator'!$C$6/((('IR Calculator'!C14+(303-0.5)*('IR Calculator'!C15-'IR Calculator'!C14)/MIN('IR Calculator'!C16,500))*0.000001)*'IR Calculator'!$C$7*'IR Calculator'!$C$19),700))-1)*0.000001</f>
        <v>45.9471805281315</v>
      </c>
    </row>
    <row r="314" customFormat="false" ht="12.75" hidden="false" customHeight="true" outlineLevel="0" collapsed="false">
      <c r="B314" s="26" t="n">
        <v>304</v>
      </c>
      <c r="C314" s="27" t="n">
        <f aca="false">'IR Calculator'!C14+(304-0.5)*('IR Calculator'!C15-'IR Calculator'!C14)/MIN('IR Calculator'!C16,500)</f>
        <v>9.214</v>
      </c>
      <c r="D314" s="28" t="n">
        <f aca="false">('IR Calculator'!C15-'IR Calculator'!C14)/MIN('IR Calculator'!C16,500)</f>
        <v>0.004</v>
      </c>
      <c r="E314" s="29" t="n">
        <f aca="false">(2*'IR Calculator'!$C$5*'IR Calculator'!$C$6^2/((('IR Calculator'!C14+(304-0.5)*('IR Calculator'!C15-'IR Calculator'!C14)/MIN('IR Calculator'!C16,500))*0.000001)^5))/(EXP(MIN('IR Calculator'!$C$5*'IR Calculator'!$C$6/((('IR Calculator'!C14+(304-0.5)*('IR Calculator'!C15-'IR Calculator'!C14)/MIN('IR Calculator'!C16,500))*0.000001)*'IR Calculator'!$C$7*'IR Calculator'!$C$19),700))-1)*0.000001</f>
        <v>45.9229553039727</v>
      </c>
    </row>
    <row r="315" customFormat="false" ht="12.75" hidden="false" customHeight="true" outlineLevel="0" collapsed="false">
      <c r="B315" s="22" t="n">
        <v>305</v>
      </c>
      <c r="C315" s="23" t="n">
        <f aca="false">'IR Calculator'!C14+(305-0.5)*('IR Calculator'!C15-'IR Calculator'!C14)/MIN('IR Calculator'!C16,500)</f>
        <v>9.218</v>
      </c>
      <c r="D315" s="24" t="n">
        <f aca="false">('IR Calculator'!C15-'IR Calculator'!C14)/MIN('IR Calculator'!C16,500)</f>
        <v>0.004</v>
      </c>
      <c r="E315" s="25" t="n">
        <f aca="false">(2*'IR Calculator'!$C$5*'IR Calculator'!$C$6^2/((('IR Calculator'!C14+(305-0.5)*('IR Calculator'!C15-'IR Calculator'!C14)/MIN('IR Calculator'!C16,500))*0.000001)^5))/(EXP(MIN('IR Calculator'!$C$5*'IR Calculator'!$C$6/((('IR Calculator'!C14+(305-0.5)*('IR Calculator'!C15-'IR Calculator'!C14)/MIN('IR Calculator'!C16,500))*0.000001)*'IR Calculator'!$C$7*'IR Calculator'!$C$19),700))-1)*0.000001</f>
        <v>45.8987237200979</v>
      </c>
    </row>
    <row r="316" customFormat="false" ht="12.75" hidden="false" customHeight="true" outlineLevel="0" collapsed="false">
      <c r="B316" s="26" t="n">
        <v>306</v>
      </c>
      <c r="C316" s="27" t="n">
        <f aca="false">'IR Calculator'!C14+(306-0.5)*('IR Calculator'!C15-'IR Calculator'!C14)/MIN('IR Calculator'!C16,500)</f>
        <v>9.222</v>
      </c>
      <c r="D316" s="28" t="n">
        <f aca="false">('IR Calculator'!C15-'IR Calculator'!C14)/MIN('IR Calculator'!C16,500)</f>
        <v>0.004</v>
      </c>
      <c r="E316" s="29" t="n">
        <f aca="false">(2*'IR Calculator'!$C$5*'IR Calculator'!$C$6^2/((('IR Calculator'!C14+(306-0.5)*('IR Calculator'!C15-'IR Calculator'!C14)/MIN('IR Calculator'!C16,500))*0.000001)^5))/(EXP(MIN('IR Calculator'!$C$5*'IR Calculator'!$C$6/((('IR Calculator'!C14+(306-0.5)*('IR Calculator'!C15-'IR Calculator'!C14)/MIN('IR Calculator'!C16,500))*0.000001)*'IR Calculator'!$C$7*'IR Calculator'!$C$19),700))-1)*0.000001</f>
        <v>45.8744858448608</v>
      </c>
    </row>
    <row r="317" customFormat="false" ht="12.75" hidden="false" customHeight="true" outlineLevel="0" collapsed="false">
      <c r="B317" s="22" t="n">
        <v>307</v>
      </c>
      <c r="C317" s="23" t="n">
        <f aca="false">'IR Calculator'!C14+(307-0.5)*('IR Calculator'!C15-'IR Calculator'!C14)/MIN('IR Calculator'!C16,500)</f>
        <v>9.226</v>
      </c>
      <c r="D317" s="24" t="n">
        <f aca="false">('IR Calculator'!C15-'IR Calculator'!C14)/MIN('IR Calculator'!C16,500)</f>
        <v>0.004</v>
      </c>
      <c r="E317" s="25" t="n">
        <f aca="false">(2*'IR Calculator'!$C$5*'IR Calculator'!$C$6^2/((('IR Calculator'!C14+(307-0.5)*('IR Calculator'!C15-'IR Calculator'!C14)/MIN('IR Calculator'!C16,500))*0.000001)^5))/(EXP(MIN('IR Calculator'!$C$5*'IR Calculator'!$C$6/((('IR Calculator'!C14+(307-0.5)*('IR Calculator'!C15-'IR Calculator'!C14)/MIN('IR Calculator'!C16,500))*0.000001)*'IR Calculator'!$C$7*'IR Calculator'!$C$19),700))-1)*0.000001</f>
        <v>45.8502417464205</v>
      </c>
    </row>
    <row r="318" customFormat="false" ht="12.75" hidden="false" customHeight="true" outlineLevel="0" collapsed="false">
      <c r="B318" s="26" t="n">
        <v>308</v>
      </c>
      <c r="C318" s="27" t="n">
        <f aca="false">'IR Calculator'!C14+(308-0.5)*('IR Calculator'!C15-'IR Calculator'!C14)/MIN('IR Calculator'!C16,500)</f>
        <v>9.23</v>
      </c>
      <c r="D318" s="28" t="n">
        <f aca="false">('IR Calculator'!C15-'IR Calculator'!C14)/MIN('IR Calculator'!C16,500)</f>
        <v>0.004</v>
      </c>
      <c r="E318" s="29" t="n">
        <f aca="false">(2*'IR Calculator'!$C$5*'IR Calculator'!$C$6^2/((('IR Calculator'!C14+(308-0.5)*('IR Calculator'!C15-'IR Calculator'!C14)/MIN('IR Calculator'!C16,500))*0.000001)^5))/(EXP(MIN('IR Calculator'!$C$5*'IR Calculator'!$C$6/((('IR Calculator'!C14+(308-0.5)*('IR Calculator'!C15-'IR Calculator'!C14)/MIN('IR Calculator'!C16,500))*0.000001)*'IR Calculator'!$C$7*'IR Calculator'!$C$19),700))-1)*0.000001</f>
        <v>45.8259914927411</v>
      </c>
    </row>
    <row r="319" customFormat="false" ht="12.75" hidden="false" customHeight="true" outlineLevel="0" collapsed="false">
      <c r="B319" s="22" t="n">
        <v>309</v>
      </c>
      <c r="C319" s="23" t="n">
        <f aca="false">'IR Calculator'!C14+(309-0.5)*('IR Calculator'!C15-'IR Calculator'!C14)/MIN('IR Calculator'!C16,500)</f>
        <v>9.234</v>
      </c>
      <c r="D319" s="24" t="n">
        <f aca="false">('IR Calculator'!C15-'IR Calculator'!C14)/MIN('IR Calculator'!C16,500)</f>
        <v>0.004</v>
      </c>
      <c r="E319" s="25" t="n">
        <f aca="false">(2*'IR Calculator'!$C$5*'IR Calculator'!$C$6^2/((('IR Calculator'!C14+(309-0.5)*('IR Calculator'!C15-'IR Calculator'!C14)/MIN('IR Calculator'!C16,500))*0.000001)^5))/(EXP(MIN('IR Calculator'!$C$5*'IR Calculator'!$C$6/((('IR Calculator'!C14+(309-0.5)*('IR Calculator'!C15-'IR Calculator'!C14)/MIN('IR Calculator'!C16,500))*0.000001)*'IR Calculator'!$C$7*'IR Calculator'!$C$19),700))-1)*0.000001</f>
        <v>45.8017351515929</v>
      </c>
    </row>
    <row r="320" customFormat="false" ht="12.75" hidden="false" customHeight="true" outlineLevel="0" collapsed="false">
      <c r="B320" s="26" t="n">
        <v>310</v>
      </c>
      <c r="C320" s="27" t="n">
        <f aca="false">'IR Calculator'!C14+(310-0.5)*('IR Calculator'!C15-'IR Calculator'!C14)/MIN('IR Calculator'!C16,500)</f>
        <v>9.238</v>
      </c>
      <c r="D320" s="28" t="n">
        <f aca="false">('IR Calculator'!C15-'IR Calculator'!C14)/MIN('IR Calculator'!C16,500)</f>
        <v>0.004</v>
      </c>
      <c r="E320" s="29" t="n">
        <f aca="false">(2*'IR Calculator'!$C$5*'IR Calculator'!$C$6^2/((('IR Calculator'!C14+(310-0.5)*('IR Calculator'!C15-'IR Calculator'!C14)/MIN('IR Calculator'!C16,500))*0.000001)^5))/(EXP(MIN('IR Calculator'!$C$5*'IR Calculator'!$C$6/((('IR Calculator'!C14+(310-0.5)*('IR Calculator'!C15-'IR Calculator'!C14)/MIN('IR Calculator'!C16,500))*0.000001)*'IR Calculator'!$C$7*'IR Calculator'!$C$19),700))-1)*0.000001</f>
        <v>45.7774727905518</v>
      </c>
    </row>
    <row r="321" customFormat="false" ht="12.75" hidden="false" customHeight="true" outlineLevel="0" collapsed="false">
      <c r="B321" s="22" t="n">
        <v>311</v>
      </c>
      <c r="C321" s="23" t="n">
        <f aca="false">'IR Calculator'!C14+(311-0.5)*('IR Calculator'!C15-'IR Calculator'!C14)/MIN('IR Calculator'!C16,500)</f>
        <v>9.242</v>
      </c>
      <c r="D321" s="24" t="n">
        <f aca="false">('IR Calculator'!C15-'IR Calculator'!C14)/MIN('IR Calculator'!C16,500)</f>
        <v>0.004</v>
      </c>
      <c r="E321" s="25" t="n">
        <f aca="false">(2*'IR Calculator'!$C$5*'IR Calculator'!$C$6^2/((('IR Calculator'!C14+(311-0.5)*('IR Calculator'!C15-'IR Calculator'!C14)/MIN('IR Calculator'!C16,500))*0.000001)^5))/(EXP(MIN('IR Calculator'!$C$5*'IR Calculator'!$C$6/((('IR Calculator'!C14+(311-0.5)*('IR Calculator'!C15-'IR Calculator'!C14)/MIN('IR Calculator'!C16,500))*0.000001)*'IR Calculator'!$C$7*'IR Calculator'!$C$19),700))-1)*0.000001</f>
        <v>45.7532044770005</v>
      </c>
    </row>
    <row r="322" customFormat="false" ht="12.75" hidden="false" customHeight="true" outlineLevel="0" collapsed="false">
      <c r="B322" s="26" t="n">
        <v>312</v>
      </c>
      <c r="C322" s="27" t="n">
        <f aca="false">'IR Calculator'!C14+(312-0.5)*('IR Calculator'!C15-'IR Calculator'!C14)/MIN('IR Calculator'!C16,500)</f>
        <v>9.246</v>
      </c>
      <c r="D322" s="28" t="n">
        <f aca="false">('IR Calculator'!C15-'IR Calculator'!C14)/MIN('IR Calculator'!C16,500)</f>
        <v>0.004</v>
      </c>
      <c r="E322" s="29" t="n">
        <f aca="false">(2*'IR Calculator'!$C$5*'IR Calculator'!$C$6^2/((('IR Calculator'!C14+(312-0.5)*('IR Calculator'!C15-'IR Calculator'!C14)/MIN('IR Calculator'!C16,500))*0.000001)^5))/(EXP(MIN('IR Calculator'!$C$5*'IR Calculator'!$C$6/((('IR Calculator'!C14+(312-0.5)*('IR Calculator'!C15-'IR Calculator'!C14)/MIN('IR Calculator'!C16,500))*0.000001)*'IR Calculator'!$C$7*'IR Calculator'!$C$19),700))-1)*0.000001</f>
        <v>45.7289302781288</v>
      </c>
    </row>
    <row r="323" customFormat="false" ht="12.75" hidden="false" customHeight="true" outlineLevel="0" collapsed="false">
      <c r="B323" s="22" t="n">
        <v>313</v>
      </c>
      <c r="C323" s="23" t="n">
        <f aca="false">'IR Calculator'!C14+(313-0.5)*('IR Calculator'!C15-'IR Calculator'!C14)/MIN('IR Calculator'!C16,500)</f>
        <v>9.25</v>
      </c>
      <c r="D323" s="24" t="n">
        <f aca="false">('IR Calculator'!C15-'IR Calculator'!C14)/MIN('IR Calculator'!C16,500)</f>
        <v>0.004</v>
      </c>
      <c r="E323" s="25" t="n">
        <f aca="false">(2*'IR Calculator'!$C$5*'IR Calculator'!$C$6^2/((('IR Calculator'!C14+(313-0.5)*('IR Calculator'!C15-'IR Calculator'!C14)/MIN('IR Calculator'!C16,500))*0.000001)^5))/(EXP(MIN('IR Calculator'!$C$5*'IR Calculator'!$C$6/((('IR Calculator'!C14+(313-0.5)*('IR Calculator'!C15-'IR Calculator'!C14)/MIN('IR Calculator'!C16,500))*0.000001)*'IR Calculator'!$C$7*'IR Calculator'!$C$19),700))-1)*0.000001</f>
        <v>45.7046502609333</v>
      </c>
    </row>
    <row r="324" customFormat="false" ht="12.75" hidden="false" customHeight="true" outlineLevel="0" collapsed="false">
      <c r="B324" s="26" t="n">
        <v>314</v>
      </c>
      <c r="C324" s="27" t="n">
        <f aca="false">'IR Calculator'!C14+(314-0.5)*('IR Calculator'!C15-'IR Calculator'!C14)/MIN('IR Calculator'!C16,500)</f>
        <v>9.254</v>
      </c>
      <c r="D324" s="28" t="n">
        <f aca="false">('IR Calculator'!C15-'IR Calculator'!C14)/MIN('IR Calculator'!C16,500)</f>
        <v>0.004</v>
      </c>
      <c r="E324" s="29" t="n">
        <f aca="false">(2*'IR Calculator'!$C$5*'IR Calculator'!$C$6^2/((('IR Calculator'!C14+(314-0.5)*('IR Calculator'!C15-'IR Calculator'!C14)/MIN('IR Calculator'!C16,500))*0.000001)^5))/(EXP(MIN('IR Calculator'!$C$5*'IR Calculator'!$C$6/((('IR Calculator'!C14+(314-0.5)*('IR Calculator'!C15-'IR Calculator'!C14)/MIN('IR Calculator'!C16,500))*0.000001)*'IR Calculator'!$C$7*'IR Calculator'!$C$19),700))-1)*0.000001</f>
        <v>45.6803644922187</v>
      </c>
    </row>
    <row r="325" customFormat="false" ht="12.75" hidden="false" customHeight="true" outlineLevel="0" collapsed="false">
      <c r="B325" s="22" t="n">
        <v>315</v>
      </c>
      <c r="C325" s="23" t="n">
        <f aca="false">'IR Calculator'!C14+(315-0.5)*('IR Calculator'!C15-'IR Calculator'!C14)/MIN('IR Calculator'!C16,500)</f>
        <v>9.258</v>
      </c>
      <c r="D325" s="24" t="n">
        <f aca="false">('IR Calculator'!C15-'IR Calculator'!C14)/MIN('IR Calculator'!C16,500)</f>
        <v>0.004</v>
      </c>
      <c r="E325" s="25" t="n">
        <f aca="false">(2*'IR Calculator'!$C$5*'IR Calculator'!$C$6^2/((('IR Calculator'!C14+(315-0.5)*('IR Calculator'!C15-'IR Calculator'!C14)/MIN('IR Calculator'!C16,500))*0.000001)^5))/(EXP(MIN('IR Calculator'!$C$5*'IR Calculator'!$C$6/((('IR Calculator'!C14+(315-0.5)*('IR Calculator'!C15-'IR Calculator'!C14)/MIN('IR Calculator'!C16,500))*0.000001)*'IR Calculator'!$C$7*'IR Calculator'!$C$19),700))-1)*0.000001</f>
        <v>45.6560730385977</v>
      </c>
    </row>
    <row r="326" customFormat="false" ht="12.75" hidden="false" customHeight="true" outlineLevel="0" collapsed="false">
      <c r="B326" s="26" t="n">
        <v>316</v>
      </c>
      <c r="C326" s="27" t="n">
        <f aca="false">'IR Calculator'!C14+(316-0.5)*('IR Calculator'!C15-'IR Calculator'!C14)/MIN('IR Calculator'!C16,500)</f>
        <v>9.262</v>
      </c>
      <c r="D326" s="28" t="n">
        <f aca="false">('IR Calculator'!C15-'IR Calculator'!C14)/MIN('IR Calculator'!C16,500)</f>
        <v>0.004</v>
      </c>
      <c r="E326" s="29" t="n">
        <f aca="false">(2*'IR Calculator'!$C$5*'IR Calculator'!$C$6^2/((('IR Calculator'!C14+(316-0.5)*('IR Calculator'!C15-'IR Calculator'!C14)/MIN('IR Calculator'!C16,500))*0.000001)^5))/(EXP(MIN('IR Calculator'!$C$5*'IR Calculator'!$C$6/((('IR Calculator'!C14+(316-0.5)*('IR Calculator'!C15-'IR Calculator'!C14)/MIN('IR Calculator'!C16,500))*0.000001)*'IR Calculator'!$C$7*'IR Calculator'!$C$19),700))-1)*0.000001</f>
        <v>45.6317759664912</v>
      </c>
    </row>
    <row r="327" customFormat="false" ht="12.75" hidden="false" customHeight="true" outlineLevel="0" collapsed="false">
      <c r="B327" s="22" t="n">
        <v>317</v>
      </c>
      <c r="C327" s="23" t="n">
        <f aca="false">'IR Calculator'!C14+(317-0.5)*('IR Calculator'!C15-'IR Calculator'!C14)/MIN('IR Calculator'!C16,500)</f>
        <v>9.266</v>
      </c>
      <c r="D327" s="24" t="n">
        <f aca="false">('IR Calculator'!C15-'IR Calculator'!C14)/MIN('IR Calculator'!C16,500)</f>
        <v>0.004</v>
      </c>
      <c r="E327" s="25" t="n">
        <f aca="false">(2*'IR Calculator'!$C$5*'IR Calculator'!$C$6^2/((('IR Calculator'!C14+(317-0.5)*('IR Calculator'!C15-'IR Calculator'!C14)/MIN('IR Calculator'!C16,500))*0.000001)^5))/(EXP(MIN('IR Calculator'!$C$5*'IR Calculator'!$C$6/((('IR Calculator'!C14+(317-0.5)*('IR Calculator'!C15-'IR Calculator'!C14)/MIN('IR Calculator'!C16,500))*0.000001)*'IR Calculator'!$C$7*'IR Calculator'!$C$19),700))-1)*0.000001</f>
        <v>45.6074733421291</v>
      </c>
    </row>
    <row r="328" customFormat="false" ht="12.75" hidden="false" customHeight="true" outlineLevel="0" collapsed="false">
      <c r="B328" s="26" t="n">
        <v>318</v>
      </c>
      <c r="C328" s="27" t="n">
        <f aca="false">'IR Calculator'!C14+(318-0.5)*('IR Calculator'!C15-'IR Calculator'!C14)/MIN('IR Calculator'!C16,500)</f>
        <v>9.27</v>
      </c>
      <c r="D328" s="28" t="n">
        <f aca="false">('IR Calculator'!C15-'IR Calculator'!C14)/MIN('IR Calculator'!C16,500)</f>
        <v>0.004</v>
      </c>
      <c r="E328" s="29" t="n">
        <f aca="false">(2*'IR Calculator'!$C$5*'IR Calculator'!$C$6^2/((('IR Calculator'!C14+(318-0.5)*('IR Calculator'!C15-'IR Calculator'!C14)/MIN('IR Calculator'!C16,500))*0.000001)^5))/(EXP(MIN('IR Calculator'!$C$5*'IR Calculator'!$C$6/((('IR Calculator'!C14+(318-0.5)*('IR Calculator'!C15-'IR Calculator'!C14)/MIN('IR Calculator'!C16,500))*0.000001)*'IR Calculator'!$C$7*'IR Calculator'!$C$19),700))-1)*0.000001</f>
        <v>45.5831652315505</v>
      </c>
    </row>
    <row r="329" customFormat="false" ht="12.75" hidden="false" customHeight="true" outlineLevel="0" collapsed="false">
      <c r="B329" s="22" t="n">
        <v>319</v>
      </c>
      <c r="C329" s="23" t="n">
        <f aca="false">'IR Calculator'!C14+(319-0.5)*('IR Calculator'!C15-'IR Calculator'!C14)/MIN('IR Calculator'!C16,500)</f>
        <v>9.274</v>
      </c>
      <c r="D329" s="24" t="n">
        <f aca="false">('IR Calculator'!C15-'IR Calculator'!C14)/MIN('IR Calculator'!C16,500)</f>
        <v>0.004</v>
      </c>
      <c r="E329" s="25" t="n">
        <f aca="false">(2*'IR Calculator'!$C$5*'IR Calculator'!$C$6^2/((('IR Calculator'!C14+(319-0.5)*('IR Calculator'!C15-'IR Calculator'!C14)/MIN('IR Calculator'!C16,500))*0.000001)^5))/(EXP(MIN('IR Calculator'!$C$5*'IR Calculator'!$C$6/((('IR Calculator'!C14+(319-0.5)*('IR Calculator'!C15-'IR Calculator'!C14)/MIN('IR Calculator'!C16,500))*0.000001)*'IR Calculator'!$C$7*'IR Calculator'!$C$19),700))-1)*0.000001</f>
        <v>45.5588517006041</v>
      </c>
    </row>
    <row r="330" customFormat="false" ht="12.75" hidden="false" customHeight="true" outlineLevel="0" collapsed="false">
      <c r="B330" s="26" t="n">
        <v>320</v>
      </c>
      <c r="C330" s="27" t="n">
        <f aca="false">'IR Calculator'!C14+(320-0.5)*('IR Calculator'!C15-'IR Calculator'!C14)/MIN('IR Calculator'!C16,500)</f>
        <v>9.278</v>
      </c>
      <c r="D330" s="28" t="n">
        <f aca="false">('IR Calculator'!C15-'IR Calculator'!C14)/MIN('IR Calculator'!C16,500)</f>
        <v>0.004</v>
      </c>
      <c r="E330" s="29" t="n">
        <f aca="false">(2*'IR Calculator'!$C$5*'IR Calculator'!$C$6^2/((('IR Calculator'!C14+(320-0.5)*('IR Calculator'!C15-'IR Calculator'!C14)/MIN('IR Calculator'!C16,500))*0.000001)^5))/(EXP(MIN('IR Calculator'!$C$5*'IR Calculator'!$C$6/((('IR Calculator'!C14+(320-0.5)*('IR Calculator'!C15-'IR Calculator'!C14)/MIN('IR Calculator'!C16,500))*0.000001)*'IR Calculator'!$C$7*'IR Calculator'!$C$19),700))-1)*0.000001</f>
        <v>45.5345328149486</v>
      </c>
    </row>
    <row r="331" customFormat="false" ht="12.75" hidden="false" customHeight="true" outlineLevel="0" collapsed="false">
      <c r="B331" s="22" t="n">
        <v>321</v>
      </c>
      <c r="C331" s="23" t="n">
        <f aca="false">'IR Calculator'!C14+(321-0.5)*('IR Calculator'!C15-'IR Calculator'!C14)/MIN('IR Calculator'!C16,500)</f>
        <v>9.282</v>
      </c>
      <c r="D331" s="24" t="n">
        <f aca="false">('IR Calculator'!C15-'IR Calculator'!C14)/MIN('IR Calculator'!C16,500)</f>
        <v>0.004</v>
      </c>
      <c r="E331" s="25" t="n">
        <f aca="false">(2*'IR Calculator'!$C$5*'IR Calculator'!$C$6^2/((('IR Calculator'!C14+(321-0.5)*('IR Calculator'!C15-'IR Calculator'!C14)/MIN('IR Calculator'!C16,500))*0.000001)^5))/(EXP(MIN('IR Calculator'!$C$5*'IR Calculator'!$C$6/((('IR Calculator'!C14+(321-0.5)*('IR Calculator'!C15-'IR Calculator'!C14)/MIN('IR Calculator'!C16,500))*0.000001)*'IR Calculator'!$C$7*'IR Calculator'!$C$19),700))-1)*0.000001</f>
        <v>45.5102086400529</v>
      </c>
    </row>
    <row r="332" customFormat="false" ht="12.75" hidden="false" customHeight="true" outlineLevel="0" collapsed="false">
      <c r="B332" s="26" t="n">
        <v>322</v>
      </c>
      <c r="C332" s="27" t="n">
        <f aca="false">'IR Calculator'!C14+(322-0.5)*('IR Calculator'!C15-'IR Calculator'!C14)/MIN('IR Calculator'!C16,500)</f>
        <v>9.286</v>
      </c>
      <c r="D332" s="28" t="n">
        <f aca="false">('IR Calculator'!C15-'IR Calculator'!C14)/MIN('IR Calculator'!C16,500)</f>
        <v>0.004</v>
      </c>
      <c r="E332" s="29" t="n">
        <f aca="false">(2*'IR Calculator'!$C$5*'IR Calculator'!$C$6^2/((('IR Calculator'!C14+(322-0.5)*('IR Calculator'!C15-'IR Calculator'!C14)/MIN('IR Calculator'!C16,500))*0.000001)^5))/(EXP(MIN('IR Calculator'!$C$5*'IR Calculator'!$C$6/((('IR Calculator'!C14+(322-0.5)*('IR Calculator'!C15-'IR Calculator'!C14)/MIN('IR Calculator'!C16,500))*0.000001)*'IR Calculator'!$C$7*'IR Calculator'!$C$19),700))-1)*0.000001</f>
        <v>45.4858792411969</v>
      </c>
    </row>
    <row r="333" customFormat="false" ht="12.75" hidden="false" customHeight="true" outlineLevel="0" collapsed="false">
      <c r="B333" s="22" t="n">
        <v>323</v>
      </c>
      <c r="C333" s="23" t="n">
        <f aca="false">'IR Calculator'!C14+(323-0.5)*('IR Calculator'!C15-'IR Calculator'!C14)/MIN('IR Calculator'!C16,500)</f>
        <v>9.29</v>
      </c>
      <c r="D333" s="24" t="n">
        <f aca="false">('IR Calculator'!C15-'IR Calculator'!C14)/MIN('IR Calculator'!C16,500)</f>
        <v>0.004</v>
      </c>
      <c r="E333" s="25" t="n">
        <f aca="false">(2*'IR Calculator'!$C$5*'IR Calculator'!$C$6^2/((('IR Calculator'!C14+(323-0.5)*('IR Calculator'!C15-'IR Calculator'!C14)/MIN('IR Calculator'!C16,500))*0.000001)^5))/(EXP(MIN('IR Calculator'!$C$5*'IR Calculator'!$C$6/((('IR Calculator'!C14+(323-0.5)*('IR Calculator'!C15-'IR Calculator'!C14)/MIN('IR Calculator'!C16,500))*0.000001)*'IR Calculator'!$C$7*'IR Calculator'!$C$19),700))-1)*0.000001</f>
        <v>45.4615446834712</v>
      </c>
    </row>
    <row r="334" customFormat="false" ht="12.75" hidden="false" customHeight="true" outlineLevel="0" collapsed="false">
      <c r="B334" s="26" t="n">
        <v>324</v>
      </c>
      <c r="C334" s="27" t="n">
        <f aca="false">'IR Calculator'!C14+(324-0.5)*('IR Calculator'!C15-'IR Calculator'!C14)/MIN('IR Calculator'!C16,500)</f>
        <v>9.294</v>
      </c>
      <c r="D334" s="28" t="n">
        <f aca="false">('IR Calculator'!C15-'IR Calculator'!C14)/MIN('IR Calculator'!C16,500)</f>
        <v>0.004</v>
      </c>
      <c r="E334" s="29" t="n">
        <f aca="false">(2*'IR Calculator'!$C$5*'IR Calculator'!$C$6^2/((('IR Calculator'!C14+(324-0.5)*('IR Calculator'!C15-'IR Calculator'!C14)/MIN('IR Calculator'!C16,500))*0.000001)^5))/(EXP(MIN('IR Calculator'!$C$5*'IR Calculator'!$C$6/((('IR Calculator'!C14+(324-0.5)*('IR Calculator'!C15-'IR Calculator'!C14)/MIN('IR Calculator'!C16,500))*0.000001)*'IR Calculator'!$C$7*'IR Calculator'!$C$19),700))-1)*0.000001</f>
        <v>45.4372050317785</v>
      </c>
    </row>
    <row r="335" customFormat="false" ht="12.75" hidden="false" customHeight="true" outlineLevel="0" collapsed="false">
      <c r="B335" s="22" t="n">
        <v>325</v>
      </c>
      <c r="C335" s="23" t="n">
        <f aca="false">'IR Calculator'!C14+(325-0.5)*('IR Calculator'!C15-'IR Calculator'!C14)/MIN('IR Calculator'!C16,500)</f>
        <v>9.298</v>
      </c>
      <c r="D335" s="24" t="n">
        <f aca="false">('IR Calculator'!C15-'IR Calculator'!C14)/MIN('IR Calculator'!C16,500)</f>
        <v>0.004</v>
      </c>
      <c r="E335" s="25" t="n">
        <f aca="false">(2*'IR Calculator'!$C$5*'IR Calculator'!$C$6^2/((('IR Calculator'!C14+(325-0.5)*('IR Calculator'!C15-'IR Calculator'!C14)/MIN('IR Calculator'!C16,500))*0.000001)^5))/(EXP(MIN('IR Calculator'!$C$5*'IR Calculator'!$C$6/((('IR Calculator'!C14+(325-0.5)*('IR Calculator'!C15-'IR Calculator'!C14)/MIN('IR Calculator'!C16,500))*0.000001)*'IR Calculator'!$C$7*'IR Calculator'!$C$19),700))-1)*0.000001</f>
        <v>45.4128603508328</v>
      </c>
    </row>
    <row r="336" customFormat="false" ht="12.75" hidden="false" customHeight="true" outlineLevel="0" collapsed="false">
      <c r="B336" s="26" t="n">
        <v>326</v>
      </c>
      <c r="C336" s="27" t="n">
        <f aca="false">'IR Calculator'!C14+(326-0.5)*('IR Calculator'!C15-'IR Calculator'!C14)/MIN('IR Calculator'!C16,500)</f>
        <v>9.302</v>
      </c>
      <c r="D336" s="28" t="n">
        <f aca="false">('IR Calculator'!C15-'IR Calculator'!C14)/MIN('IR Calculator'!C16,500)</f>
        <v>0.004</v>
      </c>
      <c r="E336" s="29" t="n">
        <f aca="false">(2*'IR Calculator'!$C$5*'IR Calculator'!$C$6^2/((('IR Calculator'!C14+(326-0.5)*('IR Calculator'!C15-'IR Calculator'!C14)/MIN('IR Calculator'!C16,500))*0.000001)^5))/(EXP(MIN('IR Calculator'!$C$5*'IR Calculator'!$C$6/((('IR Calculator'!C14+(326-0.5)*('IR Calculator'!C15-'IR Calculator'!C14)/MIN('IR Calculator'!C16,500))*0.000001)*'IR Calculator'!$C$7*'IR Calculator'!$C$19),700))-1)*0.000001</f>
        <v>45.3885107051607</v>
      </c>
    </row>
    <row r="337" customFormat="false" ht="12.75" hidden="false" customHeight="true" outlineLevel="0" collapsed="false">
      <c r="B337" s="22" t="n">
        <v>327</v>
      </c>
      <c r="C337" s="23" t="n">
        <f aca="false">'IR Calculator'!C14+(327-0.5)*('IR Calculator'!C15-'IR Calculator'!C14)/MIN('IR Calculator'!C16,500)</f>
        <v>9.306</v>
      </c>
      <c r="D337" s="24" t="n">
        <f aca="false">('IR Calculator'!C15-'IR Calculator'!C14)/MIN('IR Calculator'!C16,500)</f>
        <v>0.004</v>
      </c>
      <c r="E337" s="25" t="n">
        <f aca="false">(2*'IR Calculator'!$C$5*'IR Calculator'!$C$6^2/((('IR Calculator'!C14+(327-0.5)*('IR Calculator'!C15-'IR Calculator'!C14)/MIN('IR Calculator'!C16,500))*0.000001)^5))/(EXP(MIN('IR Calculator'!$C$5*'IR Calculator'!$C$6/((('IR Calculator'!C14+(327-0.5)*('IR Calculator'!C15-'IR Calculator'!C14)/MIN('IR Calculator'!C16,500))*0.000001)*'IR Calculator'!$C$7*'IR Calculator'!$C$19),700))-1)*0.000001</f>
        <v>45.3641561591013</v>
      </c>
    </row>
    <row r="338" customFormat="false" ht="12.75" hidden="false" customHeight="true" outlineLevel="0" collapsed="false">
      <c r="B338" s="26" t="n">
        <v>328</v>
      </c>
      <c r="C338" s="27" t="n">
        <f aca="false">'IR Calculator'!C14+(328-0.5)*('IR Calculator'!C15-'IR Calculator'!C14)/MIN('IR Calculator'!C16,500)</f>
        <v>9.31</v>
      </c>
      <c r="D338" s="28" t="n">
        <f aca="false">('IR Calculator'!C15-'IR Calculator'!C14)/MIN('IR Calculator'!C16,500)</f>
        <v>0.004</v>
      </c>
      <c r="E338" s="29" t="n">
        <f aca="false">(2*'IR Calculator'!$C$5*'IR Calculator'!$C$6^2/((('IR Calculator'!C14+(328-0.5)*('IR Calculator'!C15-'IR Calculator'!C14)/MIN('IR Calculator'!C16,500))*0.000001)^5))/(EXP(MIN('IR Calculator'!$C$5*'IR Calculator'!$C$6/((('IR Calculator'!C14+(328-0.5)*('IR Calculator'!C15-'IR Calculator'!C14)/MIN('IR Calculator'!C16,500))*0.000001)*'IR Calculator'!$C$7*'IR Calculator'!$C$19),700))-1)*0.000001</f>
        <v>45.3397967768069</v>
      </c>
    </row>
    <row r="339" customFormat="false" ht="12.75" hidden="false" customHeight="true" outlineLevel="0" collapsed="false">
      <c r="B339" s="22" t="n">
        <v>329</v>
      </c>
      <c r="C339" s="23" t="n">
        <f aca="false">'IR Calculator'!C14+(329-0.5)*('IR Calculator'!C15-'IR Calculator'!C14)/MIN('IR Calculator'!C16,500)</f>
        <v>9.314</v>
      </c>
      <c r="D339" s="24" t="n">
        <f aca="false">('IR Calculator'!C15-'IR Calculator'!C14)/MIN('IR Calculator'!C16,500)</f>
        <v>0.004</v>
      </c>
      <c r="E339" s="25" t="n">
        <f aca="false">(2*'IR Calculator'!$C$5*'IR Calculator'!$C$6^2/((('IR Calculator'!C14+(329-0.5)*('IR Calculator'!C15-'IR Calculator'!C14)/MIN('IR Calculator'!C16,500))*0.000001)^5))/(EXP(MIN('IR Calculator'!$C$5*'IR Calculator'!$C$6/((('IR Calculator'!C14+(329-0.5)*('IR Calculator'!C15-'IR Calculator'!C14)/MIN('IR Calculator'!C16,500))*0.000001)*'IR Calculator'!$C$7*'IR Calculator'!$C$19),700))-1)*0.000001</f>
        <v>45.3154326222429</v>
      </c>
    </row>
    <row r="340" customFormat="false" ht="12.75" hidden="false" customHeight="true" outlineLevel="0" collapsed="false">
      <c r="B340" s="26" t="n">
        <v>330</v>
      </c>
      <c r="C340" s="27" t="n">
        <f aca="false">'IR Calculator'!C14+(330-0.5)*('IR Calculator'!C15-'IR Calculator'!C14)/MIN('IR Calculator'!C16,500)</f>
        <v>9.318</v>
      </c>
      <c r="D340" s="28" t="n">
        <f aca="false">('IR Calculator'!C15-'IR Calculator'!C14)/MIN('IR Calculator'!C16,500)</f>
        <v>0.004</v>
      </c>
      <c r="E340" s="29" t="n">
        <f aca="false">(2*'IR Calculator'!$C$5*'IR Calculator'!$C$6^2/((('IR Calculator'!C14+(330-0.5)*('IR Calculator'!C15-'IR Calculator'!C14)/MIN('IR Calculator'!C16,500))*0.000001)^5))/(EXP(MIN('IR Calculator'!$C$5*'IR Calculator'!$C$6/((('IR Calculator'!C14+(330-0.5)*('IR Calculator'!C15-'IR Calculator'!C14)/MIN('IR Calculator'!C16,500))*0.000001)*'IR Calculator'!$C$7*'IR Calculator'!$C$19),700))-1)*0.000001</f>
        <v>45.2910637591889</v>
      </c>
    </row>
    <row r="341" customFormat="false" ht="12.75" hidden="false" customHeight="true" outlineLevel="0" collapsed="false">
      <c r="B341" s="22" t="n">
        <v>331</v>
      </c>
      <c r="C341" s="23" t="n">
        <f aca="false">'IR Calculator'!C14+(331-0.5)*('IR Calculator'!C15-'IR Calculator'!C14)/MIN('IR Calculator'!C16,500)</f>
        <v>9.322</v>
      </c>
      <c r="D341" s="24" t="n">
        <f aca="false">('IR Calculator'!C15-'IR Calculator'!C14)/MIN('IR Calculator'!C16,500)</f>
        <v>0.004</v>
      </c>
      <c r="E341" s="25" t="n">
        <f aca="false">(2*'IR Calculator'!$C$5*'IR Calculator'!$C$6^2/((('IR Calculator'!C14+(331-0.5)*('IR Calculator'!C15-'IR Calculator'!C14)/MIN('IR Calculator'!C16,500))*0.000001)^5))/(EXP(MIN('IR Calculator'!$C$5*'IR Calculator'!$C$6/((('IR Calculator'!C14+(331-0.5)*('IR Calculator'!C15-'IR Calculator'!C14)/MIN('IR Calculator'!C16,500))*0.000001)*'IR Calculator'!$C$7*'IR Calculator'!$C$19),700))-1)*0.000001</f>
        <v>45.2666902512383</v>
      </c>
    </row>
    <row r="342" customFormat="false" ht="12.75" hidden="false" customHeight="true" outlineLevel="0" collapsed="false">
      <c r="B342" s="26" t="n">
        <v>332</v>
      </c>
      <c r="C342" s="27" t="n">
        <f aca="false">'IR Calculator'!C14+(332-0.5)*('IR Calculator'!C15-'IR Calculator'!C14)/MIN('IR Calculator'!C16,500)</f>
        <v>9.326</v>
      </c>
      <c r="D342" s="28" t="n">
        <f aca="false">('IR Calculator'!C15-'IR Calculator'!C14)/MIN('IR Calculator'!C16,500)</f>
        <v>0.004</v>
      </c>
      <c r="E342" s="29" t="n">
        <f aca="false">(2*'IR Calculator'!$C$5*'IR Calculator'!$C$6^2/((('IR Calculator'!C14+(332-0.5)*('IR Calculator'!C15-'IR Calculator'!C14)/MIN('IR Calculator'!C16,500))*0.000001)^5))/(EXP(MIN('IR Calculator'!$C$5*'IR Calculator'!$C$6/((('IR Calculator'!C14+(332-0.5)*('IR Calculator'!C15-'IR Calculator'!C14)/MIN('IR Calculator'!C16,500))*0.000001)*'IR Calculator'!$C$7*'IR Calculator'!$C$19),700))-1)*0.000001</f>
        <v>45.2423121617991</v>
      </c>
    </row>
    <row r="343" customFormat="false" ht="12.75" hidden="false" customHeight="true" outlineLevel="0" collapsed="false">
      <c r="B343" s="22" t="n">
        <v>333</v>
      </c>
      <c r="C343" s="23" t="n">
        <f aca="false">'IR Calculator'!C14+(333-0.5)*('IR Calculator'!C15-'IR Calculator'!C14)/MIN('IR Calculator'!C16,500)</f>
        <v>9.33</v>
      </c>
      <c r="D343" s="24" t="n">
        <f aca="false">('IR Calculator'!C15-'IR Calculator'!C14)/MIN('IR Calculator'!C16,500)</f>
        <v>0.004</v>
      </c>
      <c r="E343" s="25" t="n">
        <f aca="false">(2*'IR Calculator'!$C$5*'IR Calculator'!$C$6^2/((('IR Calculator'!C14+(333-0.5)*('IR Calculator'!C15-'IR Calculator'!C14)/MIN('IR Calculator'!C16,500))*0.000001)^5))/(EXP(MIN('IR Calculator'!$C$5*'IR Calculator'!$C$6/((('IR Calculator'!C14+(333-0.5)*('IR Calculator'!C15-'IR Calculator'!C14)/MIN('IR Calculator'!C16,500))*0.000001)*'IR Calculator'!$C$7*'IR Calculator'!$C$19),700))-1)*0.000001</f>
        <v>45.2179295540945</v>
      </c>
    </row>
    <row r="344" customFormat="false" ht="12.75" hidden="false" customHeight="true" outlineLevel="0" collapsed="false">
      <c r="B344" s="26" t="n">
        <v>334</v>
      </c>
      <c r="C344" s="27" t="n">
        <f aca="false">'IR Calculator'!C14+(334-0.5)*('IR Calculator'!C15-'IR Calculator'!C14)/MIN('IR Calculator'!C16,500)</f>
        <v>9.334</v>
      </c>
      <c r="D344" s="28" t="n">
        <f aca="false">('IR Calculator'!C15-'IR Calculator'!C14)/MIN('IR Calculator'!C16,500)</f>
        <v>0.004</v>
      </c>
      <c r="E344" s="29" t="n">
        <f aca="false">(2*'IR Calculator'!$C$5*'IR Calculator'!$C$6^2/((('IR Calculator'!C14+(334-0.5)*('IR Calculator'!C15-'IR Calculator'!C14)/MIN('IR Calculator'!C16,500))*0.000001)^5))/(EXP(MIN('IR Calculator'!$C$5*'IR Calculator'!$C$6/((('IR Calculator'!C14+(334-0.5)*('IR Calculator'!C15-'IR Calculator'!C14)/MIN('IR Calculator'!C16,500))*0.000001)*'IR Calculator'!$C$7*'IR Calculator'!$C$19),700))-1)*0.000001</f>
        <v>45.1935424911625</v>
      </c>
    </row>
    <row r="345" customFormat="false" ht="12.75" hidden="false" customHeight="true" outlineLevel="0" collapsed="false">
      <c r="B345" s="22" t="n">
        <v>335</v>
      </c>
      <c r="C345" s="23" t="n">
        <f aca="false">'IR Calculator'!C14+(335-0.5)*('IR Calculator'!C15-'IR Calculator'!C14)/MIN('IR Calculator'!C16,500)</f>
        <v>9.338</v>
      </c>
      <c r="D345" s="24" t="n">
        <f aca="false">('IR Calculator'!C15-'IR Calculator'!C14)/MIN('IR Calculator'!C16,500)</f>
        <v>0.004</v>
      </c>
      <c r="E345" s="25" t="n">
        <f aca="false">(2*'IR Calculator'!$C$5*'IR Calculator'!$C$6^2/((('IR Calculator'!C14+(335-0.5)*('IR Calculator'!C15-'IR Calculator'!C14)/MIN('IR Calculator'!C16,500))*0.000001)^5))/(EXP(MIN('IR Calculator'!$C$5*'IR Calculator'!$C$6/((('IR Calculator'!C14+(335-0.5)*('IR Calculator'!C15-'IR Calculator'!C14)/MIN('IR Calculator'!C16,500))*0.000001)*'IR Calculator'!$C$7*'IR Calculator'!$C$19),700))-1)*0.000001</f>
        <v>45.1691510358573</v>
      </c>
    </row>
    <row r="346" customFormat="false" ht="12.75" hidden="false" customHeight="true" outlineLevel="0" collapsed="false">
      <c r="B346" s="26" t="n">
        <v>336</v>
      </c>
      <c r="C346" s="27" t="n">
        <f aca="false">'IR Calculator'!C14+(336-0.5)*('IR Calculator'!C15-'IR Calculator'!C14)/MIN('IR Calculator'!C16,500)</f>
        <v>9.342</v>
      </c>
      <c r="D346" s="28" t="n">
        <f aca="false">('IR Calculator'!C15-'IR Calculator'!C14)/MIN('IR Calculator'!C16,500)</f>
        <v>0.004</v>
      </c>
      <c r="E346" s="29" t="n">
        <f aca="false">(2*'IR Calculator'!$C$5*'IR Calculator'!$C$6^2/((('IR Calculator'!C14+(336-0.5)*('IR Calculator'!C15-'IR Calculator'!C14)/MIN('IR Calculator'!C16,500))*0.000001)^5))/(EXP(MIN('IR Calculator'!$C$5*'IR Calculator'!$C$6/((('IR Calculator'!C14+(336-0.5)*('IR Calculator'!C15-'IR Calculator'!C14)/MIN('IR Calculator'!C16,500))*0.000001)*'IR Calculator'!$C$7*'IR Calculator'!$C$19),700))-1)*0.000001</f>
        <v>45.144755250849</v>
      </c>
    </row>
    <row r="347" customFormat="false" ht="12.75" hidden="false" customHeight="true" outlineLevel="0" collapsed="false">
      <c r="B347" s="22" t="n">
        <v>337</v>
      </c>
      <c r="C347" s="23" t="n">
        <f aca="false">'IR Calculator'!C14+(337-0.5)*('IR Calculator'!C15-'IR Calculator'!C14)/MIN('IR Calculator'!C16,500)</f>
        <v>9.346</v>
      </c>
      <c r="D347" s="24" t="n">
        <f aca="false">('IR Calculator'!C15-'IR Calculator'!C14)/MIN('IR Calculator'!C16,500)</f>
        <v>0.004</v>
      </c>
      <c r="E347" s="25" t="n">
        <f aca="false">(2*'IR Calculator'!$C$5*'IR Calculator'!$C$6^2/((('IR Calculator'!C14+(337-0.5)*('IR Calculator'!C15-'IR Calculator'!C14)/MIN('IR Calculator'!C16,500))*0.000001)^5))/(EXP(MIN('IR Calculator'!$C$5*'IR Calculator'!$C$6/((('IR Calculator'!C14+(337-0.5)*('IR Calculator'!C15-'IR Calculator'!C14)/MIN('IR Calculator'!C16,500))*0.000001)*'IR Calculator'!$C$7*'IR Calculator'!$C$19),700))-1)*0.000001</f>
        <v>45.1203551986238</v>
      </c>
    </row>
    <row r="348" customFormat="false" ht="12.75" hidden="false" customHeight="true" outlineLevel="0" collapsed="false">
      <c r="B348" s="26" t="n">
        <v>338</v>
      </c>
      <c r="C348" s="27" t="n">
        <f aca="false">'IR Calculator'!C14+(338-0.5)*('IR Calculator'!C15-'IR Calculator'!C14)/MIN('IR Calculator'!C16,500)</f>
        <v>9.35</v>
      </c>
      <c r="D348" s="28" t="n">
        <f aca="false">('IR Calculator'!C15-'IR Calculator'!C14)/MIN('IR Calculator'!C16,500)</f>
        <v>0.004</v>
      </c>
      <c r="E348" s="29" t="n">
        <f aca="false">(2*'IR Calculator'!$C$5*'IR Calculator'!$C$6^2/((('IR Calculator'!C14+(338-0.5)*('IR Calculator'!C15-'IR Calculator'!C14)/MIN('IR Calculator'!C16,500))*0.000001)^5))/(EXP(MIN('IR Calculator'!$C$5*'IR Calculator'!$C$6/((('IR Calculator'!C14+(338-0.5)*('IR Calculator'!C15-'IR Calculator'!C14)/MIN('IR Calculator'!C16,500))*0.000001)*'IR Calculator'!$C$7*'IR Calculator'!$C$19),700))-1)*0.000001</f>
        <v>45.095950941485</v>
      </c>
    </row>
    <row r="349" customFormat="false" ht="12.75" hidden="false" customHeight="true" outlineLevel="0" collapsed="false">
      <c r="B349" s="22" t="n">
        <v>339</v>
      </c>
      <c r="C349" s="23" t="n">
        <f aca="false">'IR Calculator'!C14+(339-0.5)*('IR Calculator'!C15-'IR Calculator'!C14)/MIN('IR Calculator'!C16,500)</f>
        <v>9.354</v>
      </c>
      <c r="D349" s="24" t="n">
        <f aca="false">('IR Calculator'!C15-'IR Calculator'!C14)/MIN('IR Calculator'!C16,500)</f>
        <v>0.004</v>
      </c>
      <c r="E349" s="25" t="n">
        <f aca="false">(2*'IR Calculator'!$C$5*'IR Calculator'!$C$6^2/((('IR Calculator'!C14+(339-0.5)*('IR Calculator'!C15-'IR Calculator'!C14)/MIN('IR Calculator'!C16,500))*0.000001)^5))/(EXP(MIN('IR Calculator'!$C$5*'IR Calculator'!$C$6/((('IR Calculator'!C14+(339-0.5)*('IR Calculator'!C15-'IR Calculator'!C14)/MIN('IR Calculator'!C16,500))*0.000001)*'IR Calculator'!$C$7*'IR Calculator'!$C$19),700))-1)*0.000001</f>
        <v>45.0715425415533</v>
      </c>
    </row>
    <row r="350" customFormat="false" ht="12.75" hidden="false" customHeight="true" outlineLevel="0" collapsed="false">
      <c r="B350" s="26" t="n">
        <v>340</v>
      </c>
      <c r="C350" s="27" t="n">
        <f aca="false">'IR Calculator'!C14+(340-0.5)*('IR Calculator'!C15-'IR Calculator'!C14)/MIN('IR Calculator'!C16,500)</f>
        <v>9.358</v>
      </c>
      <c r="D350" s="28" t="n">
        <f aca="false">('IR Calculator'!C15-'IR Calculator'!C14)/MIN('IR Calculator'!C16,500)</f>
        <v>0.004</v>
      </c>
      <c r="E350" s="29" t="n">
        <f aca="false">(2*'IR Calculator'!$C$5*'IR Calculator'!$C$6^2/((('IR Calculator'!C14+(340-0.5)*('IR Calculator'!C15-'IR Calculator'!C14)/MIN('IR Calculator'!C16,500))*0.000001)^5))/(EXP(MIN('IR Calculator'!$C$5*'IR Calculator'!$C$6/((('IR Calculator'!C14+(340-0.5)*('IR Calculator'!C15-'IR Calculator'!C14)/MIN('IR Calculator'!C16,500))*0.000001)*'IR Calculator'!$C$7*'IR Calculator'!$C$19),700))-1)*0.000001</f>
        <v>45.0471300607664</v>
      </c>
    </row>
    <row r="351" customFormat="false" ht="12.75" hidden="false" customHeight="true" outlineLevel="0" collapsed="false">
      <c r="B351" s="22" t="n">
        <v>341</v>
      </c>
      <c r="C351" s="23" t="n">
        <f aca="false">'IR Calculator'!C14+(341-0.5)*('IR Calculator'!C15-'IR Calculator'!C14)/MIN('IR Calculator'!C16,500)</f>
        <v>9.362</v>
      </c>
      <c r="D351" s="24" t="n">
        <f aca="false">('IR Calculator'!C15-'IR Calculator'!C14)/MIN('IR Calculator'!C16,500)</f>
        <v>0.004</v>
      </c>
      <c r="E351" s="25" t="n">
        <f aca="false">(2*'IR Calculator'!$C$5*'IR Calculator'!$C$6^2/((('IR Calculator'!C14+(341-0.5)*('IR Calculator'!C15-'IR Calculator'!C14)/MIN('IR Calculator'!C16,500))*0.000001)^5))/(EXP(MIN('IR Calculator'!$C$5*'IR Calculator'!$C$6/((('IR Calculator'!C14+(341-0.5)*('IR Calculator'!C15-'IR Calculator'!C14)/MIN('IR Calculator'!C16,500))*0.000001)*'IR Calculator'!$C$7*'IR Calculator'!$C$19),700))-1)*0.000001</f>
        <v>45.0227135608804</v>
      </c>
    </row>
    <row r="352" customFormat="false" ht="12.75" hidden="false" customHeight="true" outlineLevel="0" collapsed="false">
      <c r="B352" s="26" t="n">
        <v>342</v>
      </c>
      <c r="C352" s="27" t="n">
        <f aca="false">'IR Calculator'!C14+(342-0.5)*('IR Calculator'!C15-'IR Calculator'!C14)/MIN('IR Calculator'!C16,500)</f>
        <v>9.366</v>
      </c>
      <c r="D352" s="28" t="n">
        <f aca="false">('IR Calculator'!C15-'IR Calculator'!C14)/MIN('IR Calculator'!C16,500)</f>
        <v>0.004</v>
      </c>
      <c r="E352" s="29" t="n">
        <f aca="false">(2*'IR Calculator'!$C$5*'IR Calculator'!$C$6^2/((('IR Calculator'!C14+(342-0.5)*('IR Calculator'!C15-'IR Calculator'!C14)/MIN('IR Calculator'!C16,500))*0.000001)^5))/(EXP(MIN('IR Calculator'!$C$5*'IR Calculator'!$C$6/((('IR Calculator'!C14+(342-0.5)*('IR Calculator'!C15-'IR Calculator'!C14)/MIN('IR Calculator'!C16,500))*0.000001)*'IR Calculator'!$C$7*'IR Calculator'!$C$19),700))-1)*0.000001</f>
        <v>44.9982931034696</v>
      </c>
    </row>
    <row r="353" customFormat="false" ht="12.75" hidden="false" customHeight="true" outlineLevel="0" collapsed="false">
      <c r="B353" s="22" t="n">
        <v>343</v>
      </c>
      <c r="C353" s="23" t="n">
        <f aca="false">'IR Calculator'!C14+(343-0.5)*('IR Calculator'!C15-'IR Calculator'!C14)/MIN('IR Calculator'!C16,500)</f>
        <v>9.37</v>
      </c>
      <c r="D353" s="24" t="n">
        <f aca="false">('IR Calculator'!C15-'IR Calculator'!C14)/MIN('IR Calculator'!C16,500)</f>
        <v>0.004</v>
      </c>
      <c r="E353" s="25" t="n">
        <f aca="false">(2*'IR Calculator'!$C$5*'IR Calculator'!$C$6^2/((('IR Calculator'!C14+(343-0.5)*('IR Calculator'!C15-'IR Calculator'!C14)/MIN('IR Calculator'!C16,500))*0.000001)^5))/(EXP(MIN('IR Calculator'!$C$5*'IR Calculator'!$C$6/((('IR Calculator'!C14+(343-0.5)*('IR Calculator'!C15-'IR Calculator'!C14)/MIN('IR Calculator'!C16,500))*0.000001)*'IR Calculator'!$C$7*'IR Calculator'!$C$19),700))-1)*0.000001</f>
        <v>44.973868749927</v>
      </c>
    </row>
    <row r="354" customFormat="false" ht="12.75" hidden="false" customHeight="true" outlineLevel="0" collapsed="false">
      <c r="B354" s="26" t="n">
        <v>344</v>
      </c>
      <c r="C354" s="27" t="n">
        <f aca="false">'IR Calculator'!C14+(344-0.5)*('IR Calculator'!C15-'IR Calculator'!C14)/MIN('IR Calculator'!C16,500)</f>
        <v>9.374</v>
      </c>
      <c r="D354" s="28" t="n">
        <f aca="false">('IR Calculator'!C15-'IR Calculator'!C14)/MIN('IR Calculator'!C16,500)</f>
        <v>0.004</v>
      </c>
      <c r="E354" s="29" t="n">
        <f aca="false">(2*'IR Calculator'!$C$5*'IR Calculator'!$C$6^2/((('IR Calculator'!C14+(344-0.5)*('IR Calculator'!C15-'IR Calculator'!C14)/MIN('IR Calculator'!C16,500))*0.000001)^5))/(EXP(MIN('IR Calculator'!$C$5*'IR Calculator'!$C$6/((('IR Calculator'!C14+(344-0.5)*('IR Calculator'!C15-'IR Calculator'!C14)/MIN('IR Calculator'!C16,500))*0.000001)*'IR Calculator'!$C$7*'IR Calculator'!$C$19),700))-1)*0.000001</f>
        <v>44.9494405614644</v>
      </c>
    </row>
    <row r="355" customFormat="false" ht="12.75" hidden="false" customHeight="true" outlineLevel="0" collapsed="false">
      <c r="B355" s="22" t="n">
        <v>345</v>
      </c>
      <c r="C355" s="23" t="n">
        <f aca="false">'IR Calculator'!C14+(345-0.5)*('IR Calculator'!C15-'IR Calculator'!C14)/MIN('IR Calculator'!C16,500)</f>
        <v>9.378</v>
      </c>
      <c r="D355" s="24" t="n">
        <f aca="false">('IR Calculator'!C15-'IR Calculator'!C14)/MIN('IR Calculator'!C16,500)</f>
        <v>0.004</v>
      </c>
      <c r="E355" s="25" t="n">
        <f aca="false">(2*'IR Calculator'!$C$5*'IR Calculator'!$C$6^2/((('IR Calculator'!C14+(345-0.5)*('IR Calculator'!C15-'IR Calculator'!C14)/MIN('IR Calculator'!C16,500))*0.000001)^5))/(EXP(MIN('IR Calculator'!$C$5*'IR Calculator'!$C$6/((('IR Calculator'!C14+(345-0.5)*('IR Calculator'!C15-'IR Calculator'!C14)/MIN('IR Calculator'!C16,500))*0.000001)*'IR Calculator'!$C$7*'IR Calculator'!$C$19),700))-1)*0.000001</f>
        <v>44.9250085991135</v>
      </c>
    </row>
    <row r="356" customFormat="false" ht="12.75" hidden="false" customHeight="true" outlineLevel="0" collapsed="false">
      <c r="B356" s="26" t="n">
        <v>346</v>
      </c>
      <c r="C356" s="27" t="n">
        <f aca="false">'IR Calculator'!C14+(346-0.5)*('IR Calculator'!C15-'IR Calculator'!C14)/MIN('IR Calculator'!C16,500)</f>
        <v>9.382</v>
      </c>
      <c r="D356" s="28" t="n">
        <f aca="false">('IR Calculator'!C15-'IR Calculator'!C14)/MIN('IR Calculator'!C16,500)</f>
        <v>0.004</v>
      </c>
      <c r="E356" s="29" t="n">
        <f aca="false">(2*'IR Calculator'!$C$5*'IR Calculator'!$C$6^2/((('IR Calculator'!C14+(346-0.5)*('IR Calculator'!C15-'IR Calculator'!C14)/MIN('IR Calculator'!C16,500))*0.000001)^5))/(EXP(MIN('IR Calculator'!$C$5*'IR Calculator'!$C$6/((('IR Calculator'!C14+(346-0.5)*('IR Calculator'!C15-'IR Calculator'!C14)/MIN('IR Calculator'!C16,500))*0.000001)*'IR Calculator'!$C$7*'IR Calculator'!$C$19),700))-1)*0.000001</f>
        <v>44.9005729237255</v>
      </c>
    </row>
    <row r="357" customFormat="false" ht="12.75" hidden="false" customHeight="true" outlineLevel="0" collapsed="false">
      <c r="B357" s="22" t="n">
        <v>347</v>
      </c>
      <c r="C357" s="23" t="n">
        <f aca="false">'IR Calculator'!C14+(347-0.5)*('IR Calculator'!C15-'IR Calculator'!C14)/MIN('IR Calculator'!C16,500)</f>
        <v>9.386</v>
      </c>
      <c r="D357" s="24" t="n">
        <f aca="false">('IR Calculator'!C15-'IR Calculator'!C14)/MIN('IR Calculator'!C16,500)</f>
        <v>0.004</v>
      </c>
      <c r="E357" s="25" t="n">
        <f aca="false">(2*'IR Calculator'!$C$5*'IR Calculator'!$C$6^2/((('IR Calculator'!C14+(347-0.5)*('IR Calculator'!C15-'IR Calculator'!C14)/MIN('IR Calculator'!C16,500))*0.000001)^5))/(EXP(MIN('IR Calculator'!$C$5*'IR Calculator'!$C$6/((('IR Calculator'!C14+(347-0.5)*('IR Calculator'!C15-'IR Calculator'!C14)/MIN('IR Calculator'!C16,500))*0.000001)*'IR Calculator'!$C$7*'IR Calculator'!$C$19),700))-1)*0.000001</f>
        <v>44.8761335959717</v>
      </c>
    </row>
    <row r="358" customFormat="false" ht="12.75" hidden="false" customHeight="true" outlineLevel="0" collapsed="false">
      <c r="B358" s="26" t="n">
        <v>348</v>
      </c>
      <c r="C358" s="27" t="n">
        <f aca="false">'IR Calculator'!C14+(348-0.5)*('IR Calculator'!C15-'IR Calculator'!C14)/MIN('IR Calculator'!C16,500)</f>
        <v>9.39</v>
      </c>
      <c r="D358" s="28" t="n">
        <f aca="false">('IR Calculator'!C15-'IR Calculator'!C14)/MIN('IR Calculator'!C16,500)</f>
        <v>0.004</v>
      </c>
      <c r="E358" s="29" t="n">
        <f aca="false">(2*'IR Calculator'!$C$5*'IR Calculator'!$C$6^2/((('IR Calculator'!C14+(348-0.5)*('IR Calculator'!C15-'IR Calculator'!C14)/MIN('IR Calculator'!C16,500))*0.000001)^5))/(EXP(MIN('IR Calculator'!$C$5*'IR Calculator'!$C$6/((('IR Calculator'!C14+(348-0.5)*('IR Calculator'!C15-'IR Calculator'!C14)/MIN('IR Calculator'!C16,500))*0.000001)*'IR Calculator'!$C$7*'IR Calculator'!$C$19),700))-1)*0.000001</f>
        <v>44.8516906763443</v>
      </c>
    </row>
    <row r="359" customFormat="false" ht="12.75" hidden="false" customHeight="true" outlineLevel="0" collapsed="false">
      <c r="B359" s="22" t="n">
        <v>349</v>
      </c>
      <c r="C359" s="23" t="n">
        <f aca="false">'IR Calculator'!C14+(349-0.5)*('IR Calculator'!C15-'IR Calculator'!C14)/MIN('IR Calculator'!C16,500)</f>
        <v>9.394</v>
      </c>
      <c r="D359" s="24" t="n">
        <f aca="false">('IR Calculator'!C15-'IR Calculator'!C14)/MIN('IR Calculator'!C16,500)</f>
        <v>0.004</v>
      </c>
      <c r="E359" s="25" t="n">
        <f aca="false">(2*'IR Calculator'!$C$5*'IR Calculator'!$C$6^2/((('IR Calculator'!C14+(349-0.5)*('IR Calculator'!C15-'IR Calculator'!C14)/MIN('IR Calculator'!C16,500))*0.000001)^5))/(EXP(MIN('IR Calculator'!$C$5*'IR Calculator'!$C$6/((('IR Calculator'!C14+(349-0.5)*('IR Calculator'!C15-'IR Calculator'!C14)/MIN('IR Calculator'!C16,500))*0.000001)*'IR Calculator'!$C$7*'IR Calculator'!$C$19),700))-1)*0.000001</f>
        <v>44.8272442251562</v>
      </c>
    </row>
    <row r="360" customFormat="false" ht="12.75" hidden="false" customHeight="true" outlineLevel="0" collapsed="false">
      <c r="B360" s="26" t="n">
        <v>350</v>
      </c>
      <c r="C360" s="27" t="n">
        <f aca="false">'IR Calculator'!C14+(350-0.5)*('IR Calculator'!C15-'IR Calculator'!C14)/MIN('IR Calculator'!C16,500)</f>
        <v>9.398</v>
      </c>
      <c r="D360" s="28" t="n">
        <f aca="false">('IR Calculator'!C15-'IR Calculator'!C14)/MIN('IR Calculator'!C16,500)</f>
        <v>0.004</v>
      </c>
      <c r="E360" s="29" t="n">
        <f aca="false">(2*'IR Calculator'!$C$5*'IR Calculator'!$C$6^2/((('IR Calculator'!C14+(350-0.5)*('IR Calculator'!C15-'IR Calculator'!C14)/MIN('IR Calculator'!C16,500))*0.000001)^5))/(EXP(MIN('IR Calculator'!$C$5*'IR Calculator'!$C$6/((('IR Calculator'!C14+(350-0.5)*('IR Calculator'!C15-'IR Calculator'!C14)/MIN('IR Calculator'!C16,500))*0.000001)*'IR Calculator'!$C$7*'IR Calculator'!$C$19),700))-1)*0.000001</f>
        <v>44.8027943025418</v>
      </c>
    </row>
    <row r="361" customFormat="false" ht="12.75" hidden="false" customHeight="true" outlineLevel="0" collapsed="false">
      <c r="B361" s="22" t="n">
        <v>351</v>
      </c>
      <c r="C361" s="23" t="n">
        <f aca="false">'IR Calculator'!C14+(351-0.5)*('IR Calculator'!C15-'IR Calculator'!C14)/MIN('IR Calculator'!C16,500)</f>
        <v>9.402</v>
      </c>
      <c r="D361" s="24" t="n">
        <f aca="false">('IR Calculator'!C15-'IR Calculator'!C14)/MIN('IR Calculator'!C16,500)</f>
        <v>0.004</v>
      </c>
      <c r="E361" s="25" t="n">
        <f aca="false">(2*'IR Calculator'!$C$5*'IR Calculator'!$C$6^2/((('IR Calculator'!C14+(351-0.5)*('IR Calculator'!C15-'IR Calculator'!C14)/MIN('IR Calculator'!C16,500))*0.000001)^5))/(EXP(MIN('IR Calculator'!$C$5*'IR Calculator'!$C$6/((('IR Calculator'!C14+(351-0.5)*('IR Calculator'!C15-'IR Calculator'!C14)/MIN('IR Calculator'!C16,500))*0.000001)*'IR Calculator'!$C$7*'IR Calculator'!$C$19),700))-1)*0.000001</f>
        <v>44.7783409684568</v>
      </c>
    </row>
    <row r="362" customFormat="false" ht="12.75" hidden="false" customHeight="true" outlineLevel="0" collapsed="false">
      <c r="B362" s="26" t="n">
        <v>352</v>
      </c>
      <c r="C362" s="27" t="n">
        <f aca="false">'IR Calculator'!C14+(352-0.5)*('IR Calculator'!C15-'IR Calculator'!C14)/MIN('IR Calculator'!C16,500)</f>
        <v>9.406</v>
      </c>
      <c r="D362" s="28" t="n">
        <f aca="false">('IR Calculator'!C15-'IR Calculator'!C14)/MIN('IR Calculator'!C16,500)</f>
        <v>0.004</v>
      </c>
      <c r="E362" s="29" t="n">
        <f aca="false">(2*'IR Calculator'!$C$5*'IR Calculator'!$C$6^2/((('IR Calculator'!C14+(352-0.5)*('IR Calculator'!C15-'IR Calculator'!C14)/MIN('IR Calculator'!C16,500))*0.000001)^5))/(EXP(MIN('IR Calculator'!$C$5*'IR Calculator'!$C$6/((('IR Calculator'!C14+(352-0.5)*('IR Calculator'!C15-'IR Calculator'!C14)/MIN('IR Calculator'!C16,500))*0.000001)*'IR Calculator'!$C$7*'IR Calculator'!$C$19),700))-1)*0.000001</f>
        <v>44.7538842826794</v>
      </c>
    </row>
    <row r="363" customFormat="false" ht="12.75" hidden="false" customHeight="true" outlineLevel="0" collapsed="false">
      <c r="B363" s="22" t="n">
        <v>353</v>
      </c>
      <c r="C363" s="23" t="n">
        <f aca="false">'IR Calculator'!C14+(353-0.5)*('IR Calculator'!C15-'IR Calculator'!C14)/MIN('IR Calculator'!C16,500)</f>
        <v>9.41</v>
      </c>
      <c r="D363" s="24" t="n">
        <f aca="false">('IR Calculator'!C15-'IR Calculator'!C14)/MIN('IR Calculator'!C16,500)</f>
        <v>0.004</v>
      </c>
      <c r="E363" s="25" t="n">
        <f aca="false">(2*'IR Calculator'!$C$5*'IR Calculator'!$C$6^2/((('IR Calculator'!C14+(353-0.5)*('IR Calculator'!C15-'IR Calculator'!C14)/MIN('IR Calculator'!C16,500))*0.000001)^5))/(EXP(MIN('IR Calculator'!$C$5*'IR Calculator'!$C$6/((('IR Calculator'!C14+(353-0.5)*('IR Calculator'!C15-'IR Calculator'!C14)/MIN('IR Calculator'!C16,500))*0.000001)*'IR Calculator'!$C$7*'IR Calculator'!$C$19),700))-1)*0.000001</f>
        <v>44.7294243048099</v>
      </c>
    </row>
    <row r="364" customFormat="false" ht="12.75" hidden="false" customHeight="true" outlineLevel="0" collapsed="false">
      <c r="B364" s="26" t="n">
        <v>354</v>
      </c>
      <c r="C364" s="27" t="n">
        <f aca="false">'IR Calculator'!C14+(354-0.5)*('IR Calculator'!C15-'IR Calculator'!C14)/MIN('IR Calculator'!C16,500)</f>
        <v>9.414</v>
      </c>
      <c r="D364" s="28" t="n">
        <f aca="false">('IR Calculator'!C15-'IR Calculator'!C14)/MIN('IR Calculator'!C16,500)</f>
        <v>0.004</v>
      </c>
      <c r="E364" s="29" t="n">
        <f aca="false">(2*'IR Calculator'!$C$5*'IR Calculator'!$C$6^2/((('IR Calculator'!C14+(354-0.5)*('IR Calculator'!C15-'IR Calculator'!C14)/MIN('IR Calculator'!C16,500))*0.000001)^5))/(EXP(MIN('IR Calculator'!$C$5*'IR Calculator'!$C$6/((('IR Calculator'!C14+(354-0.5)*('IR Calculator'!C15-'IR Calculator'!C14)/MIN('IR Calculator'!C16,500))*0.000001)*'IR Calculator'!$C$7*'IR Calculator'!$C$19),700))-1)*0.000001</f>
        <v>44.7049610942716</v>
      </c>
    </row>
    <row r="365" customFormat="false" ht="12.75" hidden="false" customHeight="true" outlineLevel="0" collapsed="false">
      <c r="B365" s="22" t="n">
        <v>355</v>
      </c>
      <c r="C365" s="23" t="n">
        <f aca="false">'IR Calculator'!C14+(355-0.5)*('IR Calculator'!C15-'IR Calculator'!C14)/MIN('IR Calculator'!C16,500)</f>
        <v>9.418</v>
      </c>
      <c r="D365" s="24" t="n">
        <f aca="false">('IR Calculator'!C15-'IR Calculator'!C14)/MIN('IR Calculator'!C16,500)</f>
        <v>0.004</v>
      </c>
      <c r="E365" s="25" t="n">
        <f aca="false">(2*'IR Calculator'!$C$5*'IR Calculator'!$C$6^2/((('IR Calculator'!C14+(355-0.5)*('IR Calculator'!C15-'IR Calculator'!C14)/MIN('IR Calculator'!C16,500))*0.000001)^5))/(EXP(MIN('IR Calculator'!$C$5*'IR Calculator'!$C$6/((('IR Calculator'!C14+(355-0.5)*('IR Calculator'!C15-'IR Calculator'!C14)/MIN('IR Calculator'!C16,500))*0.000001)*'IR Calculator'!$C$7*'IR Calculator'!$C$19),700))-1)*0.000001</f>
        <v>44.6804947103108</v>
      </c>
    </row>
    <row r="366" customFormat="false" ht="12.75" hidden="false" customHeight="true" outlineLevel="0" collapsed="false">
      <c r="B366" s="26" t="n">
        <v>356</v>
      </c>
      <c r="C366" s="27" t="n">
        <f aca="false">'IR Calculator'!C14+(356-0.5)*('IR Calculator'!C15-'IR Calculator'!C14)/MIN('IR Calculator'!C16,500)</f>
        <v>9.422</v>
      </c>
      <c r="D366" s="28" t="n">
        <f aca="false">('IR Calculator'!C15-'IR Calculator'!C14)/MIN('IR Calculator'!C16,500)</f>
        <v>0.004</v>
      </c>
      <c r="E366" s="29" t="n">
        <f aca="false">(2*'IR Calculator'!$C$5*'IR Calculator'!$C$6^2/((('IR Calculator'!C14+(356-0.5)*('IR Calculator'!C15-'IR Calculator'!C14)/MIN('IR Calculator'!C16,500))*0.000001)^5))/(EXP(MIN('IR Calculator'!$C$5*'IR Calculator'!$C$6/((('IR Calculator'!C14+(356-0.5)*('IR Calculator'!C15-'IR Calculator'!C14)/MIN('IR Calculator'!C16,500))*0.000001)*'IR Calculator'!$C$7*'IR Calculator'!$C$19),700))-1)*0.000001</f>
        <v>44.6560252119976</v>
      </c>
    </row>
    <row r="367" customFormat="false" ht="12.75" hidden="false" customHeight="true" outlineLevel="0" collapsed="false">
      <c r="B367" s="22" t="n">
        <v>357</v>
      </c>
      <c r="C367" s="23" t="n">
        <f aca="false">'IR Calculator'!C14+(357-0.5)*('IR Calculator'!C15-'IR Calculator'!C14)/MIN('IR Calculator'!C16,500)</f>
        <v>9.426</v>
      </c>
      <c r="D367" s="24" t="n">
        <f aca="false">('IR Calculator'!C15-'IR Calculator'!C14)/MIN('IR Calculator'!C16,500)</f>
        <v>0.004</v>
      </c>
      <c r="E367" s="25" t="n">
        <f aca="false">(2*'IR Calculator'!$C$5*'IR Calculator'!$C$6^2/((('IR Calculator'!C14+(357-0.5)*('IR Calculator'!C15-'IR Calculator'!C14)/MIN('IR Calculator'!C16,500))*0.000001)^5))/(EXP(MIN('IR Calculator'!$C$5*'IR Calculator'!$C$6/((('IR Calculator'!C14+(357-0.5)*('IR Calculator'!C15-'IR Calculator'!C14)/MIN('IR Calculator'!C16,500))*0.000001)*'IR Calculator'!$C$7*'IR Calculator'!$C$19),700))-1)*0.000001</f>
        <v>44.6315526582256</v>
      </c>
    </row>
    <row r="368" customFormat="false" ht="12.75" hidden="false" customHeight="true" outlineLevel="0" collapsed="false">
      <c r="B368" s="26" t="n">
        <v>358</v>
      </c>
      <c r="C368" s="27" t="n">
        <f aca="false">'IR Calculator'!C14+(358-0.5)*('IR Calculator'!C15-'IR Calculator'!C14)/MIN('IR Calculator'!C16,500)</f>
        <v>9.43</v>
      </c>
      <c r="D368" s="28" t="n">
        <f aca="false">('IR Calculator'!C15-'IR Calculator'!C14)/MIN('IR Calculator'!C16,500)</f>
        <v>0.004</v>
      </c>
      <c r="E368" s="29" t="n">
        <f aca="false">(2*'IR Calculator'!$C$5*'IR Calculator'!$C$6^2/((('IR Calculator'!C14+(358-0.5)*('IR Calculator'!C15-'IR Calculator'!C14)/MIN('IR Calculator'!C16,500))*0.000001)^5))/(EXP(MIN('IR Calculator'!$C$5*'IR Calculator'!$C$6/((('IR Calculator'!C14+(358-0.5)*('IR Calculator'!C15-'IR Calculator'!C14)/MIN('IR Calculator'!C16,500))*0.000001)*'IR Calculator'!$C$7*'IR Calculator'!$C$19),700))-1)*0.000001</f>
        <v>44.6070771077132</v>
      </c>
    </row>
    <row r="369" customFormat="false" ht="12.75" hidden="false" customHeight="true" outlineLevel="0" collapsed="false">
      <c r="B369" s="22" t="n">
        <v>359</v>
      </c>
      <c r="C369" s="23" t="n">
        <f aca="false">'IR Calculator'!C14+(359-0.5)*('IR Calculator'!C15-'IR Calculator'!C14)/MIN('IR Calculator'!C16,500)</f>
        <v>9.434</v>
      </c>
      <c r="D369" s="24" t="n">
        <f aca="false">('IR Calculator'!C15-'IR Calculator'!C14)/MIN('IR Calculator'!C16,500)</f>
        <v>0.004</v>
      </c>
      <c r="E369" s="25" t="n">
        <f aca="false">(2*'IR Calculator'!$C$5*'IR Calculator'!$C$6^2/((('IR Calculator'!C14+(359-0.5)*('IR Calculator'!C15-'IR Calculator'!C14)/MIN('IR Calculator'!C16,500))*0.000001)^5))/(EXP(MIN('IR Calculator'!$C$5*'IR Calculator'!$C$6/((('IR Calculator'!C14+(359-0.5)*('IR Calculator'!C15-'IR Calculator'!C14)/MIN('IR Calculator'!C16,500))*0.000001)*'IR Calculator'!$C$7*'IR Calculator'!$C$19),700))-1)*0.000001</f>
        <v>44.5825986190029</v>
      </c>
    </row>
    <row r="370" customFormat="false" ht="12.75" hidden="false" customHeight="true" outlineLevel="0" collapsed="false">
      <c r="B370" s="26" t="n">
        <v>360</v>
      </c>
      <c r="C370" s="27" t="n">
        <f aca="false">'IR Calculator'!C14+(360-0.5)*('IR Calculator'!C15-'IR Calculator'!C14)/MIN('IR Calculator'!C16,500)</f>
        <v>9.438</v>
      </c>
      <c r="D370" s="28" t="n">
        <f aca="false">('IR Calculator'!C15-'IR Calculator'!C14)/MIN('IR Calculator'!C16,500)</f>
        <v>0.004</v>
      </c>
      <c r="E370" s="29" t="n">
        <f aca="false">(2*'IR Calculator'!$C$5*'IR Calculator'!$C$6^2/((('IR Calculator'!C14+(360-0.5)*('IR Calculator'!C15-'IR Calculator'!C14)/MIN('IR Calculator'!C16,500))*0.000001)^5))/(EXP(MIN('IR Calculator'!$C$5*'IR Calculator'!$C$6/((('IR Calculator'!C14+(360-0.5)*('IR Calculator'!C15-'IR Calculator'!C14)/MIN('IR Calculator'!C16,500))*0.000001)*'IR Calculator'!$C$7*'IR Calculator'!$C$19),700))-1)*0.000001</f>
        <v>44.5581172504626</v>
      </c>
    </row>
    <row r="371" customFormat="false" ht="12.75" hidden="false" customHeight="true" outlineLevel="0" collapsed="false">
      <c r="B371" s="22" t="n">
        <v>361</v>
      </c>
      <c r="C371" s="23" t="n">
        <f aca="false">'IR Calculator'!C14+(361-0.5)*('IR Calculator'!C15-'IR Calculator'!C14)/MIN('IR Calculator'!C16,500)</f>
        <v>9.442</v>
      </c>
      <c r="D371" s="24" t="n">
        <f aca="false">('IR Calculator'!C15-'IR Calculator'!C14)/MIN('IR Calculator'!C16,500)</f>
        <v>0.004</v>
      </c>
      <c r="E371" s="25" t="n">
        <f aca="false">(2*'IR Calculator'!$C$5*'IR Calculator'!$C$6^2/((('IR Calculator'!C14+(361-0.5)*('IR Calculator'!C15-'IR Calculator'!C14)/MIN('IR Calculator'!C16,500))*0.000001)^5))/(EXP(MIN('IR Calculator'!$C$5*'IR Calculator'!$C$6/((('IR Calculator'!C14+(361-0.5)*('IR Calculator'!C15-'IR Calculator'!C14)/MIN('IR Calculator'!C16,500))*0.000001)*'IR Calculator'!$C$7*'IR Calculator'!$C$19),700))-1)*0.000001</f>
        <v>44.5336330602854</v>
      </c>
    </row>
    <row r="372" customFormat="false" ht="12.75" hidden="false" customHeight="true" outlineLevel="0" collapsed="false">
      <c r="B372" s="26" t="n">
        <v>362</v>
      </c>
      <c r="C372" s="27" t="n">
        <f aca="false">'IR Calculator'!C14+(362-0.5)*('IR Calculator'!C15-'IR Calculator'!C14)/MIN('IR Calculator'!C16,500)</f>
        <v>9.446</v>
      </c>
      <c r="D372" s="28" t="n">
        <f aca="false">('IR Calculator'!C15-'IR Calculator'!C14)/MIN('IR Calculator'!C16,500)</f>
        <v>0.004</v>
      </c>
      <c r="E372" s="29" t="n">
        <f aca="false">(2*'IR Calculator'!$C$5*'IR Calculator'!$C$6^2/((('IR Calculator'!C14+(362-0.5)*('IR Calculator'!C15-'IR Calculator'!C14)/MIN('IR Calculator'!C16,500))*0.000001)^5))/(EXP(MIN('IR Calculator'!$C$5*'IR Calculator'!$C$6/((('IR Calculator'!C14+(362-0.5)*('IR Calculator'!C15-'IR Calculator'!C14)/MIN('IR Calculator'!C16,500))*0.000001)*'IR Calculator'!$C$7*'IR Calculator'!$C$19),700))-1)*0.000001</f>
        <v>44.5091461064903</v>
      </c>
    </row>
    <row r="373" customFormat="false" ht="12.75" hidden="false" customHeight="true" outlineLevel="0" collapsed="false">
      <c r="B373" s="22" t="n">
        <v>363</v>
      </c>
      <c r="C373" s="23" t="n">
        <f aca="false">'IR Calculator'!C14+(363-0.5)*('IR Calculator'!C15-'IR Calculator'!C14)/MIN('IR Calculator'!C16,500)</f>
        <v>9.45</v>
      </c>
      <c r="D373" s="24" t="n">
        <f aca="false">('IR Calculator'!C15-'IR Calculator'!C14)/MIN('IR Calculator'!C16,500)</f>
        <v>0.004</v>
      </c>
      <c r="E373" s="25" t="n">
        <f aca="false">(2*'IR Calculator'!$C$5*'IR Calculator'!$C$6^2/((('IR Calculator'!C14+(363-0.5)*('IR Calculator'!C15-'IR Calculator'!C14)/MIN('IR Calculator'!C16,500))*0.000001)^5))/(EXP(MIN('IR Calculator'!$C$5*'IR Calculator'!$C$6/((('IR Calculator'!C14+(363-0.5)*('IR Calculator'!C15-'IR Calculator'!C14)/MIN('IR Calculator'!C16,500))*0.000001)*'IR Calculator'!$C$7*'IR Calculator'!$C$19),700))-1)*0.000001</f>
        <v>44.4846564469224</v>
      </c>
    </row>
    <row r="374" customFormat="false" ht="12.75" hidden="false" customHeight="true" outlineLevel="0" collapsed="false">
      <c r="B374" s="26" t="n">
        <v>364</v>
      </c>
      <c r="C374" s="27" t="n">
        <f aca="false">'IR Calculator'!C14+(364-0.5)*('IR Calculator'!C15-'IR Calculator'!C14)/MIN('IR Calculator'!C16,500)</f>
        <v>9.454</v>
      </c>
      <c r="D374" s="28" t="n">
        <f aca="false">('IR Calculator'!C15-'IR Calculator'!C14)/MIN('IR Calculator'!C16,500)</f>
        <v>0.004</v>
      </c>
      <c r="E374" s="29" t="n">
        <f aca="false">(2*'IR Calculator'!$C$5*'IR Calculator'!$C$6^2/((('IR Calculator'!C14+(364-0.5)*('IR Calculator'!C15-'IR Calculator'!C14)/MIN('IR Calculator'!C16,500))*0.000001)^5))/(EXP(MIN('IR Calculator'!$C$5*'IR Calculator'!$C$6/((('IR Calculator'!C14+(364-0.5)*('IR Calculator'!C15-'IR Calculator'!C14)/MIN('IR Calculator'!C16,500))*0.000001)*'IR Calculator'!$C$7*'IR Calculator'!$C$19),700))-1)*0.000001</f>
        <v>44.4601641392532</v>
      </c>
    </row>
    <row r="375" customFormat="false" ht="12.75" hidden="false" customHeight="true" outlineLevel="0" collapsed="false">
      <c r="B375" s="22" t="n">
        <v>365</v>
      </c>
      <c r="C375" s="23" t="n">
        <f aca="false">'IR Calculator'!C14+(365-0.5)*('IR Calculator'!C15-'IR Calculator'!C14)/MIN('IR Calculator'!C16,500)</f>
        <v>9.458</v>
      </c>
      <c r="D375" s="24" t="n">
        <f aca="false">('IR Calculator'!C15-'IR Calculator'!C14)/MIN('IR Calculator'!C16,500)</f>
        <v>0.004</v>
      </c>
      <c r="E375" s="25" t="n">
        <f aca="false">(2*'IR Calculator'!$C$5*'IR Calculator'!$C$6^2/((('IR Calculator'!C14+(365-0.5)*('IR Calculator'!C15-'IR Calculator'!C14)/MIN('IR Calculator'!C16,500))*0.000001)^5))/(EXP(MIN('IR Calculator'!$C$5*'IR Calculator'!$C$6/((('IR Calculator'!C14+(365-0.5)*('IR Calculator'!C15-'IR Calculator'!C14)/MIN('IR Calculator'!C16,500))*0.000001)*'IR Calculator'!$C$7*'IR Calculator'!$C$19),700))-1)*0.000001</f>
        <v>44.4356692409809</v>
      </c>
    </row>
    <row r="376" customFormat="false" ht="12.75" hidden="false" customHeight="true" outlineLevel="0" collapsed="false">
      <c r="B376" s="26" t="n">
        <v>366</v>
      </c>
      <c r="C376" s="27" t="n">
        <f aca="false">'IR Calculator'!C14+(366-0.5)*('IR Calculator'!C15-'IR Calculator'!C14)/MIN('IR Calculator'!C16,500)</f>
        <v>9.462</v>
      </c>
      <c r="D376" s="28" t="n">
        <f aca="false">('IR Calculator'!C15-'IR Calculator'!C14)/MIN('IR Calculator'!C16,500)</f>
        <v>0.004</v>
      </c>
      <c r="E376" s="29" t="n">
        <f aca="false">(2*'IR Calculator'!$C$5*'IR Calculator'!$C$6^2/((('IR Calculator'!C14+(366-0.5)*('IR Calculator'!C15-'IR Calculator'!C14)/MIN('IR Calculator'!C16,500))*0.000001)^5))/(EXP(MIN('IR Calculator'!$C$5*'IR Calculator'!$C$6/((('IR Calculator'!C14+(366-0.5)*('IR Calculator'!C15-'IR Calculator'!C14)/MIN('IR Calculator'!C16,500))*0.000001)*'IR Calculator'!$C$7*'IR Calculator'!$C$19),700))-1)*0.000001</f>
        <v>44.4111718094315</v>
      </c>
    </row>
    <row r="377" customFormat="false" ht="12.75" hidden="false" customHeight="true" outlineLevel="0" collapsed="false">
      <c r="B377" s="22" t="n">
        <v>367</v>
      </c>
      <c r="C377" s="23" t="n">
        <f aca="false">'IR Calculator'!C14+(367-0.5)*('IR Calculator'!C15-'IR Calculator'!C14)/MIN('IR Calculator'!C16,500)</f>
        <v>9.466</v>
      </c>
      <c r="D377" s="24" t="n">
        <f aca="false">('IR Calculator'!C15-'IR Calculator'!C14)/MIN('IR Calculator'!C16,500)</f>
        <v>0.004</v>
      </c>
      <c r="E377" s="25" t="n">
        <f aca="false">(2*'IR Calculator'!$C$5*'IR Calculator'!$C$6^2/((('IR Calculator'!C14+(367-0.5)*('IR Calculator'!C15-'IR Calculator'!C14)/MIN('IR Calculator'!C16,500))*0.000001)^5))/(EXP(MIN('IR Calculator'!$C$5*'IR Calculator'!$C$6/((('IR Calculator'!C14+(367-0.5)*('IR Calculator'!C15-'IR Calculator'!C14)/MIN('IR Calculator'!C16,500))*0.000001)*'IR Calculator'!$C$7*'IR Calculator'!$C$19),700))-1)*0.000001</f>
        <v>44.3866719017579</v>
      </c>
    </row>
    <row r="378" customFormat="false" ht="12.75" hidden="false" customHeight="true" outlineLevel="0" collapsed="false">
      <c r="B378" s="26" t="n">
        <v>368</v>
      </c>
      <c r="C378" s="27" t="n">
        <f aca="false">'IR Calculator'!C14+(368-0.5)*('IR Calculator'!C15-'IR Calculator'!C14)/MIN('IR Calculator'!C16,500)</f>
        <v>9.47</v>
      </c>
      <c r="D378" s="28" t="n">
        <f aca="false">('IR Calculator'!C15-'IR Calculator'!C14)/MIN('IR Calculator'!C16,500)</f>
        <v>0.004</v>
      </c>
      <c r="E378" s="29" t="n">
        <f aca="false">(2*'IR Calculator'!$C$5*'IR Calculator'!$C$6^2/((('IR Calculator'!C14+(368-0.5)*('IR Calculator'!C15-'IR Calculator'!C14)/MIN('IR Calculator'!C16,500))*0.000001)^5))/(EXP(MIN('IR Calculator'!$C$5*'IR Calculator'!$C$6/((('IR Calculator'!C14+(368-0.5)*('IR Calculator'!C15-'IR Calculator'!C14)/MIN('IR Calculator'!C16,500))*0.000001)*'IR Calculator'!$C$7*'IR Calculator'!$C$19),700))-1)*0.000001</f>
        <v>44.3621695749414</v>
      </c>
    </row>
    <row r="379" customFormat="false" ht="12.75" hidden="false" customHeight="true" outlineLevel="0" collapsed="false">
      <c r="B379" s="22" t="n">
        <v>369</v>
      </c>
      <c r="C379" s="23" t="n">
        <f aca="false">'IR Calculator'!C14+(369-0.5)*('IR Calculator'!C15-'IR Calculator'!C14)/MIN('IR Calculator'!C16,500)</f>
        <v>9.474</v>
      </c>
      <c r="D379" s="24" t="n">
        <f aca="false">('IR Calculator'!C15-'IR Calculator'!C14)/MIN('IR Calculator'!C16,500)</f>
        <v>0.004</v>
      </c>
      <c r="E379" s="25" t="n">
        <f aca="false">(2*'IR Calculator'!$C$5*'IR Calculator'!$C$6^2/((('IR Calculator'!C14+(369-0.5)*('IR Calculator'!C15-'IR Calculator'!C14)/MIN('IR Calculator'!C16,500))*0.000001)^5))/(EXP(MIN('IR Calculator'!$C$5*'IR Calculator'!$C$6/((('IR Calculator'!C14+(369-0.5)*('IR Calculator'!C15-'IR Calculator'!C14)/MIN('IR Calculator'!C16,500))*0.000001)*'IR Calculator'!$C$7*'IR Calculator'!$C$19),700))-1)*0.000001</f>
        <v>44.3376648857915</v>
      </c>
    </row>
    <row r="380" customFormat="false" ht="12.75" hidden="false" customHeight="true" outlineLevel="0" collapsed="false">
      <c r="B380" s="26" t="n">
        <v>370</v>
      </c>
      <c r="C380" s="27" t="n">
        <f aca="false">'IR Calculator'!C14+(370-0.5)*('IR Calculator'!C15-'IR Calculator'!C14)/MIN('IR Calculator'!C16,500)</f>
        <v>9.478</v>
      </c>
      <c r="D380" s="28" t="n">
        <f aca="false">('IR Calculator'!C15-'IR Calculator'!C14)/MIN('IR Calculator'!C16,500)</f>
        <v>0.004</v>
      </c>
      <c r="E380" s="29" t="n">
        <f aca="false">(2*'IR Calculator'!$C$5*'IR Calculator'!$C$6^2/((('IR Calculator'!C14+(370-0.5)*('IR Calculator'!C15-'IR Calculator'!C14)/MIN('IR Calculator'!C16,500))*0.000001)^5))/(EXP(MIN('IR Calculator'!$C$5*'IR Calculator'!$C$6/((('IR Calculator'!C14+(370-0.5)*('IR Calculator'!C15-'IR Calculator'!C14)/MIN('IR Calculator'!C16,500))*0.000001)*'IR Calculator'!$C$7*'IR Calculator'!$C$19),700))-1)*0.000001</f>
        <v>44.3131578909464</v>
      </c>
    </row>
    <row r="381" customFormat="false" ht="12.75" hidden="false" customHeight="true" outlineLevel="0" collapsed="false">
      <c r="B381" s="22" t="n">
        <v>371</v>
      </c>
      <c r="C381" s="23" t="n">
        <f aca="false">'IR Calculator'!C14+(371-0.5)*('IR Calculator'!C15-'IR Calculator'!C14)/MIN('IR Calculator'!C16,500)</f>
        <v>9.482</v>
      </c>
      <c r="D381" s="24" t="n">
        <f aca="false">('IR Calculator'!C15-'IR Calculator'!C14)/MIN('IR Calculator'!C16,500)</f>
        <v>0.004</v>
      </c>
      <c r="E381" s="25" t="n">
        <f aca="false">(2*'IR Calculator'!$C$5*'IR Calculator'!$C$6^2/((('IR Calculator'!C14+(371-0.5)*('IR Calculator'!C15-'IR Calculator'!C14)/MIN('IR Calculator'!C16,500))*0.000001)^5))/(EXP(MIN('IR Calculator'!$C$5*'IR Calculator'!$C$6/((('IR Calculator'!C14+(371-0.5)*('IR Calculator'!C15-'IR Calculator'!C14)/MIN('IR Calculator'!C16,500))*0.000001)*'IR Calculator'!$C$7*'IR Calculator'!$C$19),700))-1)*0.000001</f>
        <v>44.2886486468734</v>
      </c>
    </row>
    <row r="382" customFormat="false" ht="12.75" hidden="false" customHeight="true" outlineLevel="0" collapsed="false">
      <c r="B382" s="26" t="n">
        <v>372</v>
      </c>
      <c r="C382" s="27" t="n">
        <f aca="false">'IR Calculator'!C14+(372-0.5)*('IR Calculator'!C15-'IR Calculator'!C14)/MIN('IR Calculator'!C16,500)</f>
        <v>9.486</v>
      </c>
      <c r="D382" s="28" t="n">
        <f aca="false">('IR Calculator'!C15-'IR Calculator'!C14)/MIN('IR Calculator'!C16,500)</f>
        <v>0.004</v>
      </c>
      <c r="E382" s="29" t="n">
        <f aca="false">(2*'IR Calculator'!$C$5*'IR Calculator'!$C$6^2/((('IR Calculator'!C14+(372-0.5)*('IR Calculator'!C15-'IR Calculator'!C14)/MIN('IR Calculator'!C16,500))*0.000001)^5))/(EXP(MIN('IR Calculator'!$C$5*'IR Calculator'!$C$6/((('IR Calculator'!C14+(372-0.5)*('IR Calculator'!C15-'IR Calculator'!C14)/MIN('IR Calculator'!C16,500))*0.000001)*'IR Calculator'!$C$7*'IR Calculator'!$C$19),700))-1)*0.000001</f>
        <v>44.2641372098691</v>
      </c>
    </row>
    <row r="383" customFormat="false" ht="12.75" hidden="false" customHeight="true" outlineLevel="0" collapsed="false">
      <c r="B383" s="22" t="n">
        <v>373</v>
      </c>
      <c r="C383" s="23" t="n">
        <f aca="false">'IR Calculator'!C14+(373-0.5)*('IR Calculator'!C15-'IR Calculator'!C14)/MIN('IR Calculator'!C16,500)</f>
        <v>9.49</v>
      </c>
      <c r="D383" s="24" t="n">
        <f aca="false">('IR Calculator'!C15-'IR Calculator'!C14)/MIN('IR Calculator'!C16,500)</f>
        <v>0.004</v>
      </c>
      <c r="E383" s="25" t="n">
        <f aca="false">(2*'IR Calculator'!$C$5*'IR Calculator'!$C$6^2/((('IR Calculator'!C14+(373-0.5)*('IR Calculator'!C15-'IR Calculator'!C14)/MIN('IR Calculator'!C16,500))*0.000001)^5))/(EXP(MIN('IR Calculator'!$C$5*'IR Calculator'!$C$6/((('IR Calculator'!C14+(373-0.5)*('IR Calculator'!C15-'IR Calculator'!C14)/MIN('IR Calculator'!C16,500))*0.000001)*'IR Calculator'!$C$7*'IR Calculator'!$C$19),700))-1)*0.000001</f>
        <v>44.23962363606</v>
      </c>
    </row>
    <row r="384" customFormat="false" ht="12.75" hidden="false" customHeight="true" outlineLevel="0" collapsed="false">
      <c r="B384" s="26" t="n">
        <v>374</v>
      </c>
      <c r="C384" s="27" t="n">
        <f aca="false">'IR Calculator'!C14+(374-0.5)*('IR Calculator'!C15-'IR Calculator'!C14)/MIN('IR Calculator'!C16,500)</f>
        <v>9.494</v>
      </c>
      <c r="D384" s="28" t="n">
        <f aca="false">('IR Calculator'!C15-'IR Calculator'!C14)/MIN('IR Calculator'!C16,500)</f>
        <v>0.004</v>
      </c>
      <c r="E384" s="29" t="n">
        <f aca="false">(2*'IR Calculator'!$C$5*'IR Calculator'!$C$6^2/((('IR Calculator'!C14+(374-0.5)*('IR Calculator'!C15-'IR Calculator'!C14)/MIN('IR Calculator'!C16,500))*0.000001)^5))/(EXP(MIN('IR Calculator'!$C$5*'IR Calculator'!$C$6/((('IR Calculator'!C14+(374-0.5)*('IR Calculator'!C15-'IR Calculator'!C14)/MIN('IR Calculator'!C16,500))*0.000001)*'IR Calculator'!$C$7*'IR Calculator'!$C$19),700))-1)*0.000001</f>
        <v>44.2151079814027</v>
      </c>
    </row>
    <row r="385" customFormat="false" ht="12.75" hidden="false" customHeight="true" outlineLevel="0" collapsed="false">
      <c r="B385" s="22" t="n">
        <v>375</v>
      </c>
      <c r="C385" s="23" t="n">
        <f aca="false">'IR Calculator'!C14+(375-0.5)*('IR Calculator'!C15-'IR Calculator'!C14)/MIN('IR Calculator'!C16,500)</f>
        <v>9.498</v>
      </c>
      <c r="D385" s="24" t="n">
        <f aca="false">('IR Calculator'!C15-'IR Calculator'!C14)/MIN('IR Calculator'!C16,500)</f>
        <v>0.004</v>
      </c>
      <c r="E385" s="25" t="n">
        <f aca="false">(2*'IR Calculator'!$C$5*'IR Calculator'!$C$6^2/((('IR Calculator'!C14+(375-0.5)*('IR Calculator'!C15-'IR Calculator'!C14)/MIN('IR Calculator'!C16,500))*0.000001)^5))/(EXP(MIN('IR Calculator'!$C$5*'IR Calculator'!$C$6/((('IR Calculator'!C14+(375-0.5)*('IR Calculator'!C15-'IR Calculator'!C14)/MIN('IR Calculator'!C16,500))*0.000001)*'IR Calculator'!$C$7*'IR Calculator'!$C$19),700))-1)*0.000001</f>
        <v>44.1905903016842</v>
      </c>
    </row>
    <row r="386" customFormat="false" ht="12.75" hidden="false" customHeight="true" outlineLevel="0" collapsed="false">
      <c r="B386" s="26" t="n">
        <v>376</v>
      </c>
      <c r="C386" s="27" t="n">
        <f aca="false">'IR Calculator'!C14+(376-0.5)*('IR Calculator'!C15-'IR Calculator'!C14)/MIN('IR Calculator'!C16,500)</f>
        <v>9.502</v>
      </c>
      <c r="D386" s="28" t="n">
        <f aca="false">('IR Calculator'!C15-'IR Calculator'!C14)/MIN('IR Calculator'!C16,500)</f>
        <v>0.004</v>
      </c>
      <c r="E386" s="29" t="n">
        <f aca="false">(2*'IR Calculator'!$C$5*'IR Calculator'!$C$6^2/((('IR Calculator'!C14+(376-0.5)*('IR Calculator'!C15-'IR Calculator'!C14)/MIN('IR Calculator'!C16,500))*0.000001)^5))/(EXP(MIN('IR Calculator'!$C$5*'IR Calculator'!$C$6/((('IR Calculator'!C14+(376-0.5)*('IR Calculator'!C15-'IR Calculator'!C14)/MIN('IR Calculator'!C16,500))*0.000001)*'IR Calculator'!$C$7*'IR Calculator'!$C$19),700))-1)*0.000001</f>
        <v>44.1660706525227</v>
      </c>
    </row>
    <row r="387" customFormat="false" ht="12.75" hidden="false" customHeight="true" outlineLevel="0" collapsed="false">
      <c r="B387" s="22" t="n">
        <v>377</v>
      </c>
      <c r="C387" s="23" t="n">
        <f aca="false">'IR Calculator'!C14+(377-0.5)*('IR Calculator'!C15-'IR Calculator'!C14)/MIN('IR Calculator'!C16,500)</f>
        <v>9.506</v>
      </c>
      <c r="D387" s="24" t="n">
        <f aca="false">('IR Calculator'!C15-'IR Calculator'!C14)/MIN('IR Calculator'!C16,500)</f>
        <v>0.004</v>
      </c>
      <c r="E387" s="25" t="n">
        <f aca="false">(2*'IR Calculator'!$C$5*'IR Calculator'!$C$6^2/((('IR Calculator'!C14+(377-0.5)*('IR Calculator'!C15-'IR Calculator'!C14)/MIN('IR Calculator'!C16,500))*0.000001)^5))/(EXP(MIN('IR Calculator'!$C$5*'IR Calculator'!$C$6/((('IR Calculator'!C14+(377-0.5)*('IR Calculator'!C15-'IR Calculator'!C14)/MIN('IR Calculator'!C16,500))*0.000001)*'IR Calculator'!$C$7*'IR Calculator'!$C$19),700))-1)*0.000001</f>
        <v>44.1415490893673</v>
      </c>
    </row>
    <row r="388" customFormat="false" ht="12.75" hidden="false" customHeight="true" outlineLevel="0" collapsed="false">
      <c r="B388" s="26" t="n">
        <v>378</v>
      </c>
      <c r="C388" s="27" t="n">
        <f aca="false">'IR Calculator'!C14+(378-0.5)*('IR Calculator'!C15-'IR Calculator'!C14)/MIN('IR Calculator'!C16,500)</f>
        <v>9.51</v>
      </c>
      <c r="D388" s="28" t="n">
        <f aca="false">('IR Calculator'!C15-'IR Calculator'!C14)/MIN('IR Calculator'!C16,500)</f>
        <v>0.004</v>
      </c>
      <c r="E388" s="29" t="n">
        <f aca="false">(2*'IR Calculator'!$C$5*'IR Calculator'!$C$6^2/((('IR Calculator'!C14+(378-0.5)*('IR Calculator'!C15-'IR Calculator'!C14)/MIN('IR Calculator'!C16,500))*0.000001)^5))/(EXP(MIN('IR Calculator'!$C$5*'IR Calculator'!$C$6/((('IR Calculator'!C14+(378-0.5)*('IR Calculator'!C15-'IR Calculator'!C14)/MIN('IR Calculator'!C16,500))*0.000001)*'IR Calculator'!$C$7*'IR Calculator'!$C$19),700))-1)*0.000001</f>
        <v>44.1170256674989</v>
      </c>
    </row>
    <row r="389" customFormat="false" ht="12.75" hidden="false" customHeight="true" outlineLevel="0" collapsed="false">
      <c r="B389" s="22" t="n">
        <v>379</v>
      </c>
      <c r="C389" s="23" t="n">
        <f aca="false">'IR Calculator'!C14+(379-0.5)*('IR Calculator'!C15-'IR Calculator'!C14)/MIN('IR Calculator'!C16,500)</f>
        <v>9.514</v>
      </c>
      <c r="D389" s="24" t="n">
        <f aca="false">('IR Calculator'!C15-'IR Calculator'!C14)/MIN('IR Calculator'!C16,500)</f>
        <v>0.004</v>
      </c>
      <c r="E389" s="25" t="n">
        <f aca="false">(2*'IR Calculator'!$C$5*'IR Calculator'!$C$6^2/((('IR Calculator'!C14+(379-0.5)*('IR Calculator'!C15-'IR Calculator'!C14)/MIN('IR Calculator'!C16,500))*0.000001)^5))/(EXP(MIN('IR Calculator'!$C$5*'IR Calculator'!$C$6/((('IR Calculator'!C14+(379-0.5)*('IR Calculator'!C15-'IR Calculator'!C14)/MIN('IR Calculator'!C16,500))*0.000001)*'IR Calculator'!$C$7*'IR Calculator'!$C$19),700))-1)*0.000001</f>
        <v>44.0925004420303</v>
      </c>
    </row>
    <row r="390" customFormat="false" ht="12.75" hidden="false" customHeight="true" outlineLevel="0" collapsed="false">
      <c r="B390" s="26" t="n">
        <v>380</v>
      </c>
      <c r="C390" s="27" t="n">
        <f aca="false">'IR Calculator'!C14+(380-0.5)*('IR Calculator'!C15-'IR Calculator'!C14)/MIN('IR Calculator'!C16,500)</f>
        <v>9.518</v>
      </c>
      <c r="D390" s="28" t="n">
        <f aca="false">('IR Calculator'!C15-'IR Calculator'!C14)/MIN('IR Calculator'!C16,500)</f>
        <v>0.004</v>
      </c>
      <c r="E390" s="29" t="n">
        <f aca="false">(2*'IR Calculator'!$C$5*'IR Calculator'!$C$6^2/((('IR Calculator'!C14+(380-0.5)*('IR Calculator'!C15-'IR Calculator'!C14)/MIN('IR Calculator'!C16,500))*0.000001)^5))/(EXP(MIN('IR Calculator'!$C$5*'IR Calculator'!$C$6/((('IR Calculator'!C14+(380-0.5)*('IR Calculator'!C15-'IR Calculator'!C14)/MIN('IR Calculator'!C16,500))*0.000001)*'IR Calculator'!$C$7*'IR Calculator'!$C$19),700))-1)*0.000001</f>
        <v>44.0679734679065</v>
      </c>
    </row>
    <row r="391" customFormat="false" ht="12.75" hidden="false" customHeight="true" outlineLevel="0" collapsed="false">
      <c r="B391" s="22" t="n">
        <v>381</v>
      </c>
      <c r="C391" s="23" t="n">
        <f aca="false">'IR Calculator'!C14+(381-0.5)*('IR Calculator'!C15-'IR Calculator'!C14)/MIN('IR Calculator'!C16,500)</f>
        <v>9.522</v>
      </c>
      <c r="D391" s="24" t="n">
        <f aca="false">('IR Calculator'!C15-'IR Calculator'!C14)/MIN('IR Calculator'!C16,500)</f>
        <v>0.004</v>
      </c>
      <c r="E391" s="25" t="n">
        <f aca="false">(2*'IR Calculator'!$C$5*'IR Calculator'!$C$6^2/((('IR Calculator'!C14+(381-0.5)*('IR Calculator'!C15-'IR Calculator'!C14)/MIN('IR Calculator'!C16,500))*0.000001)^5))/(EXP(MIN('IR Calculator'!$C$5*'IR Calculator'!$C$6/((('IR Calculator'!C14+(381-0.5)*('IR Calculator'!C15-'IR Calculator'!C14)/MIN('IR Calculator'!C16,500))*0.000001)*'IR Calculator'!$C$7*'IR Calculator'!$C$19),700))-1)*0.000001</f>
        <v>44.0434447999055</v>
      </c>
    </row>
    <row r="392" customFormat="false" ht="12.75" hidden="false" customHeight="true" outlineLevel="0" collapsed="false">
      <c r="B392" s="26" t="n">
        <v>382</v>
      </c>
      <c r="C392" s="27" t="n">
        <f aca="false">'IR Calculator'!C14+(382-0.5)*('IR Calculator'!C15-'IR Calculator'!C14)/MIN('IR Calculator'!C16,500)</f>
        <v>9.526</v>
      </c>
      <c r="D392" s="28" t="n">
        <f aca="false">('IR Calculator'!C15-'IR Calculator'!C14)/MIN('IR Calculator'!C16,500)</f>
        <v>0.004</v>
      </c>
      <c r="E392" s="29" t="n">
        <f aca="false">(2*'IR Calculator'!$C$5*'IR Calculator'!$C$6^2/((('IR Calculator'!C14+(382-0.5)*('IR Calculator'!C15-'IR Calculator'!C14)/MIN('IR Calculator'!C16,500))*0.000001)^5))/(EXP(MIN('IR Calculator'!$C$5*'IR Calculator'!$C$6/((('IR Calculator'!C14+(382-0.5)*('IR Calculator'!C15-'IR Calculator'!C14)/MIN('IR Calculator'!C16,500))*0.000001)*'IR Calculator'!$C$7*'IR Calculator'!$C$19),700))-1)*0.000001</f>
        <v>44.018914492638</v>
      </c>
    </row>
    <row r="393" customFormat="false" ht="12.75" hidden="false" customHeight="true" outlineLevel="0" collapsed="false">
      <c r="B393" s="22" t="n">
        <v>383</v>
      </c>
      <c r="C393" s="23" t="n">
        <f aca="false">'IR Calculator'!C14+(383-0.5)*('IR Calculator'!C15-'IR Calculator'!C14)/MIN('IR Calculator'!C16,500)</f>
        <v>9.53</v>
      </c>
      <c r="D393" s="24" t="n">
        <f aca="false">('IR Calculator'!C15-'IR Calculator'!C14)/MIN('IR Calculator'!C16,500)</f>
        <v>0.004</v>
      </c>
      <c r="E393" s="25" t="n">
        <f aca="false">(2*'IR Calculator'!$C$5*'IR Calculator'!$C$6^2/((('IR Calculator'!C14+(383-0.5)*('IR Calculator'!C15-'IR Calculator'!C14)/MIN('IR Calculator'!C16,500))*0.000001)^5))/(EXP(MIN('IR Calculator'!$C$5*'IR Calculator'!$C$6/((('IR Calculator'!C14+(383-0.5)*('IR Calculator'!C15-'IR Calculator'!C14)/MIN('IR Calculator'!C16,500))*0.000001)*'IR Calculator'!$C$7*'IR Calculator'!$C$19),700))-1)*0.000001</f>
        <v>43.9943826005483</v>
      </c>
    </row>
    <row r="394" customFormat="false" ht="12.75" hidden="false" customHeight="true" outlineLevel="0" collapsed="false">
      <c r="B394" s="26" t="n">
        <v>384</v>
      </c>
      <c r="C394" s="27" t="n">
        <f aca="false">'IR Calculator'!C14+(384-0.5)*('IR Calculator'!C15-'IR Calculator'!C14)/MIN('IR Calculator'!C16,500)</f>
        <v>9.534</v>
      </c>
      <c r="D394" s="28" t="n">
        <f aca="false">('IR Calculator'!C15-'IR Calculator'!C14)/MIN('IR Calculator'!C16,500)</f>
        <v>0.004</v>
      </c>
      <c r="E394" s="29" t="n">
        <f aca="false">(2*'IR Calculator'!$C$5*'IR Calculator'!$C$6^2/((('IR Calculator'!C14+(384-0.5)*('IR Calculator'!C15-'IR Calculator'!C14)/MIN('IR Calculator'!C16,500))*0.000001)^5))/(EXP(MIN('IR Calculator'!$C$5*'IR Calculator'!$C$6/((('IR Calculator'!C14+(384-0.5)*('IR Calculator'!C15-'IR Calculator'!C14)/MIN('IR Calculator'!C16,500))*0.000001)*'IR Calculator'!$C$7*'IR Calculator'!$C$19),700))-1)*0.000001</f>
        <v>43.9698491779144</v>
      </c>
    </row>
    <row r="395" customFormat="false" ht="12.75" hidden="false" customHeight="true" outlineLevel="0" collapsed="false">
      <c r="B395" s="22" t="n">
        <v>385</v>
      </c>
      <c r="C395" s="23" t="n">
        <f aca="false">'IR Calculator'!C14+(385-0.5)*('IR Calculator'!C15-'IR Calculator'!C14)/MIN('IR Calculator'!C16,500)</f>
        <v>9.538</v>
      </c>
      <c r="D395" s="24" t="n">
        <f aca="false">('IR Calculator'!C15-'IR Calculator'!C14)/MIN('IR Calculator'!C16,500)</f>
        <v>0.004</v>
      </c>
      <c r="E395" s="25" t="n">
        <f aca="false">(2*'IR Calculator'!$C$5*'IR Calculator'!$C$6^2/((('IR Calculator'!C14+(385-0.5)*('IR Calculator'!C15-'IR Calculator'!C14)/MIN('IR Calculator'!C16,500))*0.000001)^5))/(EXP(MIN('IR Calculator'!$C$5*'IR Calculator'!$C$6/((('IR Calculator'!C14+(385-0.5)*('IR Calculator'!C15-'IR Calculator'!C14)/MIN('IR Calculator'!C16,500))*0.000001)*'IR Calculator'!$C$7*'IR Calculator'!$C$19),700))-1)*0.000001</f>
        <v>43.9453142788486</v>
      </c>
    </row>
    <row r="396" customFormat="false" ht="12.75" hidden="false" customHeight="true" outlineLevel="0" collapsed="false">
      <c r="B396" s="26" t="n">
        <v>386</v>
      </c>
      <c r="C396" s="27" t="n">
        <f aca="false">'IR Calculator'!C14+(386-0.5)*('IR Calculator'!C15-'IR Calculator'!C14)/MIN('IR Calculator'!C16,500)</f>
        <v>9.542</v>
      </c>
      <c r="D396" s="28" t="n">
        <f aca="false">('IR Calculator'!C15-'IR Calculator'!C14)/MIN('IR Calculator'!C16,500)</f>
        <v>0.004</v>
      </c>
      <c r="E396" s="29" t="n">
        <f aca="false">(2*'IR Calculator'!$C$5*'IR Calculator'!$C$6^2/((('IR Calculator'!C14+(386-0.5)*('IR Calculator'!C15-'IR Calculator'!C14)/MIN('IR Calculator'!C16,500))*0.000001)^5))/(EXP(MIN('IR Calculator'!$C$5*'IR Calculator'!$C$6/((('IR Calculator'!C14+(386-0.5)*('IR Calculator'!C15-'IR Calculator'!C14)/MIN('IR Calculator'!C16,500))*0.000001)*'IR Calculator'!$C$7*'IR Calculator'!$C$19),700))-1)*0.000001</f>
        <v>43.9207779572974</v>
      </c>
    </row>
    <row r="397" customFormat="false" ht="12.75" hidden="false" customHeight="true" outlineLevel="0" collapsed="false">
      <c r="B397" s="22" t="n">
        <v>387</v>
      </c>
      <c r="C397" s="23" t="n">
        <f aca="false">'IR Calculator'!C14+(387-0.5)*('IR Calculator'!C15-'IR Calculator'!C14)/MIN('IR Calculator'!C16,500)</f>
        <v>9.546</v>
      </c>
      <c r="D397" s="24" t="n">
        <f aca="false">('IR Calculator'!C15-'IR Calculator'!C14)/MIN('IR Calculator'!C16,500)</f>
        <v>0.004</v>
      </c>
      <c r="E397" s="25" t="n">
        <f aca="false">(2*'IR Calculator'!$C$5*'IR Calculator'!$C$6^2/((('IR Calculator'!C14+(387-0.5)*('IR Calculator'!C15-'IR Calculator'!C14)/MIN('IR Calculator'!C16,500))*0.000001)^5))/(EXP(MIN('IR Calculator'!$C$5*'IR Calculator'!$C$6/((('IR Calculator'!C14+(387-0.5)*('IR Calculator'!C15-'IR Calculator'!C14)/MIN('IR Calculator'!C16,500))*0.000001)*'IR Calculator'!$C$7*'IR Calculator'!$C$19),700))-1)*0.000001</f>
        <v>43.8962402670423</v>
      </c>
    </row>
    <row r="398" customFormat="false" ht="12.75" hidden="false" customHeight="true" outlineLevel="0" collapsed="false">
      <c r="B398" s="26" t="n">
        <v>388</v>
      </c>
      <c r="C398" s="27" t="n">
        <f aca="false">'IR Calculator'!C14+(388-0.5)*('IR Calculator'!C15-'IR Calculator'!C14)/MIN('IR Calculator'!C16,500)</f>
        <v>9.55</v>
      </c>
      <c r="D398" s="28" t="n">
        <f aca="false">('IR Calculator'!C15-'IR Calculator'!C14)/MIN('IR Calculator'!C16,500)</f>
        <v>0.004</v>
      </c>
      <c r="E398" s="29" t="n">
        <f aca="false">(2*'IR Calculator'!$C$5*'IR Calculator'!$C$6^2/((('IR Calculator'!C14+(388-0.5)*('IR Calculator'!C15-'IR Calculator'!C14)/MIN('IR Calculator'!C16,500))*0.000001)^5))/(EXP(MIN('IR Calculator'!$C$5*'IR Calculator'!$C$6/((('IR Calculator'!C14+(388-0.5)*('IR Calculator'!C15-'IR Calculator'!C14)/MIN('IR Calculator'!C16,500))*0.000001)*'IR Calculator'!$C$7*'IR Calculator'!$C$19),700))-1)*0.000001</f>
        <v>43.8717012617</v>
      </c>
    </row>
    <row r="399" customFormat="false" ht="12.75" hidden="false" customHeight="true" outlineLevel="0" collapsed="false">
      <c r="B399" s="22" t="n">
        <v>389</v>
      </c>
      <c r="C399" s="23" t="n">
        <f aca="false">'IR Calculator'!C14+(389-0.5)*('IR Calculator'!C15-'IR Calculator'!C14)/MIN('IR Calculator'!C16,500)</f>
        <v>9.554</v>
      </c>
      <c r="D399" s="24" t="n">
        <f aca="false">('IR Calculator'!C15-'IR Calculator'!C14)/MIN('IR Calculator'!C16,500)</f>
        <v>0.004</v>
      </c>
      <c r="E399" s="25" t="n">
        <f aca="false">(2*'IR Calculator'!$C$5*'IR Calculator'!$C$6^2/((('IR Calculator'!C14+(389-0.5)*('IR Calculator'!C15-'IR Calculator'!C14)/MIN('IR Calculator'!C16,500))*0.000001)^5))/(EXP(MIN('IR Calculator'!$C$5*'IR Calculator'!$C$6/((('IR Calculator'!C14+(389-0.5)*('IR Calculator'!C15-'IR Calculator'!C14)/MIN('IR Calculator'!C16,500))*0.000001)*'IR Calculator'!$C$7*'IR Calculator'!$C$19),700))-1)*0.000001</f>
        <v>43.8471609947227</v>
      </c>
    </row>
    <row r="400" customFormat="false" ht="12.75" hidden="false" customHeight="true" outlineLevel="0" collapsed="false">
      <c r="B400" s="26" t="n">
        <v>390</v>
      </c>
      <c r="C400" s="27" t="n">
        <f aca="false">'IR Calculator'!C14+(390-0.5)*('IR Calculator'!C15-'IR Calculator'!C14)/MIN('IR Calculator'!C16,500)</f>
        <v>9.558</v>
      </c>
      <c r="D400" s="28" t="n">
        <f aca="false">('IR Calculator'!C15-'IR Calculator'!C14)/MIN('IR Calculator'!C16,500)</f>
        <v>0.004</v>
      </c>
      <c r="E400" s="29" t="n">
        <f aca="false">(2*'IR Calculator'!$C$5*'IR Calculator'!$C$6^2/((('IR Calculator'!C14+(390-0.5)*('IR Calculator'!C15-'IR Calculator'!C14)/MIN('IR Calculator'!C16,500))*0.000001)^5))/(EXP(MIN('IR Calculator'!$C$5*'IR Calculator'!$C$6/((('IR Calculator'!C14+(390-0.5)*('IR Calculator'!C15-'IR Calculator'!C14)/MIN('IR Calculator'!C16,500))*0.000001)*'IR Calculator'!$C$7*'IR Calculator'!$C$19),700))-1)*0.000001</f>
        <v>43.8226195193987</v>
      </c>
    </row>
    <row r="401" customFormat="false" ht="12.75" hidden="false" customHeight="true" outlineLevel="0" collapsed="false">
      <c r="B401" s="22" t="n">
        <v>391</v>
      </c>
      <c r="C401" s="23" t="n">
        <f aca="false">'IR Calculator'!C14+(391-0.5)*('IR Calculator'!C15-'IR Calculator'!C14)/MIN('IR Calculator'!C16,500)</f>
        <v>9.562</v>
      </c>
      <c r="D401" s="24" t="n">
        <f aca="false">('IR Calculator'!C15-'IR Calculator'!C14)/MIN('IR Calculator'!C16,500)</f>
        <v>0.004</v>
      </c>
      <c r="E401" s="25" t="n">
        <f aca="false">(2*'IR Calculator'!$C$5*'IR Calculator'!$C$6^2/((('IR Calculator'!C14+(391-0.5)*('IR Calculator'!C15-'IR Calculator'!C14)/MIN('IR Calculator'!C16,500))*0.000001)^5))/(EXP(MIN('IR Calculator'!$C$5*'IR Calculator'!$C$6/((('IR Calculator'!C14+(391-0.5)*('IR Calculator'!C15-'IR Calculator'!C14)/MIN('IR Calculator'!C16,500))*0.000001)*'IR Calculator'!$C$7*'IR Calculator'!$C$19),700))-1)*0.000001</f>
        <v>43.7980768888523</v>
      </c>
    </row>
    <row r="402" customFormat="false" ht="12.75" hidden="false" customHeight="true" outlineLevel="0" collapsed="false">
      <c r="B402" s="26" t="n">
        <v>392</v>
      </c>
      <c r="C402" s="27" t="n">
        <f aca="false">'IR Calculator'!C14+(392-0.5)*('IR Calculator'!C15-'IR Calculator'!C14)/MIN('IR Calculator'!C16,500)</f>
        <v>9.566</v>
      </c>
      <c r="D402" s="28" t="n">
        <f aca="false">('IR Calculator'!C15-'IR Calculator'!C14)/MIN('IR Calculator'!C16,500)</f>
        <v>0.004</v>
      </c>
      <c r="E402" s="29" t="n">
        <f aca="false">(2*'IR Calculator'!$C$5*'IR Calculator'!$C$6^2/((('IR Calculator'!C14+(392-0.5)*('IR Calculator'!C15-'IR Calculator'!C14)/MIN('IR Calculator'!C16,500))*0.000001)^5))/(EXP(MIN('IR Calculator'!$C$5*'IR Calculator'!$C$6/((('IR Calculator'!C14+(392-0.5)*('IR Calculator'!C15-'IR Calculator'!C14)/MIN('IR Calculator'!C16,500))*0.000001)*'IR Calculator'!$C$7*'IR Calculator'!$C$19),700))-1)*0.000001</f>
        <v>43.7735331560446</v>
      </c>
    </row>
    <row r="403" customFormat="false" ht="12.75" hidden="false" customHeight="true" outlineLevel="0" collapsed="false">
      <c r="B403" s="22" t="n">
        <v>393</v>
      </c>
      <c r="C403" s="23" t="n">
        <f aca="false">'IR Calculator'!C14+(393-0.5)*('IR Calculator'!C15-'IR Calculator'!C14)/MIN('IR Calculator'!C16,500)</f>
        <v>9.57</v>
      </c>
      <c r="D403" s="24" t="n">
        <f aca="false">('IR Calculator'!C15-'IR Calculator'!C14)/MIN('IR Calculator'!C16,500)</f>
        <v>0.004</v>
      </c>
      <c r="E403" s="25" t="n">
        <f aca="false">(2*'IR Calculator'!$C$5*'IR Calculator'!$C$6^2/((('IR Calculator'!C14+(393-0.5)*('IR Calculator'!C15-'IR Calculator'!C14)/MIN('IR Calculator'!C16,500))*0.000001)^5))/(EXP(MIN('IR Calculator'!$C$5*'IR Calculator'!$C$6/((('IR Calculator'!C14+(393-0.5)*('IR Calculator'!C15-'IR Calculator'!C14)/MIN('IR Calculator'!C16,500))*0.000001)*'IR Calculator'!$C$7*'IR Calculator'!$C$19),700))-1)*0.000001</f>
        <v>43.7489883737736</v>
      </c>
    </row>
    <row r="404" customFormat="false" ht="12.75" hidden="false" customHeight="true" outlineLevel="0" collapsed="false">
      <c r="B404" s="26" t="n">
        <v>394</v>
      </c>
      <c r="C404" s="27" t="n">
        <f aca="false">'IR Calculator'!C14+(394-0.5)*('IR Calculator'!C15-'IR Calculator'!C14)/MIN('IR Calculator'!C16,500)</f>
        <v>9.574</v>
      </c>
      <c r="D404" s="28" t="n">
        <f aca="false">('IR Calculator'!C15-'IR Calculator'!C14)/MIN('IR Calculator'!C16,500)</f>
        <v>0.004</v>
      </c>
      <c r="E404" s="29" t="n">
        <f aca="false">(2*'IR Calculator'!$C$5*'IR Calculator'!$C$6^2/((('IR Calculator'!C14+(394-0.5)*('IR Calculator'!C15-'IR Calculator'!C14)/MIN('IR Calculator'!C16,500))*0.000001)^5))/(EXP(MIN('IR Calculator'!$C$5*'IR Calculator'!$C$6/((('IR Calculator'!C14+(394-0.5)*('IR Calculator'!C15-'IR Calculator'!C14)/MIN('IR Calculator'!C16,500))*0.000001)*'IR Calculator'!$C$7*'IR Calculator'!$C$19),700))-1)*0.000001</f>
        <v>43.7244425946749</v>
      </c>
    </row>
    <row r="405" customFormat="false" ht="12.75" hidden="false" customHeight="true" outlineLevel="0" collapsed="false">
      <c r="B405" s="22" t="n">
        <v>395</v>
      </c>
      <c r="C405" s="23" t="n">
        <f aca="false">'IR Calculator'!C14+(395-0.5)*('IR Calculator'!C15-'IR Calculator'!C14)/MIN('IR Calculator'!C16,500)</f>
        <v>9.578</v>
      </c>
      <c r="D405" s="24" t="n">
        <f aca="false">('IR Calculator'!C15-'IR Calculator'!C14)/MIN('IR Calculator'!C16,500)</f>
        <v>0.004</v>
      </c>
      <c r="E405" s="25" t="n">
        <f aca="false">(2*'IR Calculator'!$C$5*'IR Calculator'!$C$6^2/((('IR Calculator'!C14+(395-0.5)*('IR Calculator'!C15-'IR Calculator'!C14)/MIN('IR Calculator'!C16,500))*0.000001)^5))/(EXP(MIN('IR Calculator'!$C$5*'IR Calculator'!$C$6/((('IR Calculator'!C14+(395-0.5)*('IR Calculator'!C15-'IR Calculator'!C14)/MIN('IR Calculator'!C16,500))*0.000001)*'IR Calculator'!$C$7*'IR Calculator'!$C$19),700))-1)*0.000001</f>
        <v>43.6998958712213</v>
      </c>
    </row>
    <row r="406" customFormat="false" ht="12.75" hidden="false" customHeight="true" outlineLevel="0" collapsed="false">
      <c r="B406" s="26" t="n">
        <v>396</v>
      </c>
      <c r="C406" s="27" t="n">
        <f aca="false">'IR Calculator'!C14+(396-0.5)*('IR Calculator'!C15-'IR Calculator'!C14)/MIN('IR Calculator'!C16,500)</f>
        <v>9.582</v>
      </c>
      <c r="D406" s="28" t="n">
        <f aca="false">('IR Calculator'!C15-'IR Calculator'!C14)/MIN('IR Calculator'!C16,500)</f>
        <v>0.004</v>
      </c>
      <c r="E406" s="29" t="n">
        <f aca="false">(2*'IR Calculator'!$C$5*'IR Calculator'!$C$6^2/((('IR Calculator'!C14+(396-0.5)*('IR Calculator'!C15-'IR Calculator'!C14)/MIN('IR Calculator'!C16,500))*0.000001)^5))/(EXP(MIN('IR Calculator'!$C$5*'IR Calculator'!$C$6/((('IR Calculator'!C14+(396-0.5)*('IR Calculator'!C15-'IR Calculator'!C14)/MIN('IR Calculator'!C16,500))*0.000001)*'IR Calculator'!$C$7*'IR Calculator'!$C$19),700))-1)*0.000001</f>
        <v>43.6753482557241</v>
      </c>
    </row>
    <row r="407" customFormat="false" ht="12.75" hidden="false" customHeight="true" outlineLevel="0" collapsed="false">
      <c r="B407" s="22" t="n">
        <v>397</v>
      </c>
      <c r="C407" s="23" t="n">
        <f aca="false">'IR Calculator'!C14+(397-0.5)*('IR Calculator'!C15-'IR Calculator'!C14)/MIN('IR Calculator'!C16,500)</f>
        <v>9.586</v>
      </c>
      <c r="D407" s="24" t="n">
        <f aca="false">('IR Calculator'!C15-'IR Calculator'!C14)/MIN('IR Calculator'!C16,500)</f>
        <v>0.004</v>
      </c>
      <c r="E407" s="25" t="n">
        <f aca="false">(2*'IR Calculator'!$C$5*'IR Calculator'!$C$6^2/((('IR Calculator'!C14+(397-0.5)*('IR Calculator'!C15-'IR Calculator'!C14)/MIN('IR Calculator'!C16,500))*0.000001)^5))/(EXP(MIN('IR Calculator'!$C$5*'IR Calculator'!$C$6/((('IR Calculator'!C14+(397-0.5)*('IR Calculator'!C15-'IR Calculator'!C14)/MIN('IR Calculator'!C16,500))*0.000001)*'IR Calculator'!$C$7*'IR Calculator'!$C$19),700))-1)*0.000001</f>
        <v>43.6507998003329</v>
      </c>
    </row>
    <row r="408" customFormat="false" ht="12.75" hidden="false" customHeight="true" outlineLevel="0" collapsed="false">
      <c r="B408" s="26" t="n">
        <v>398</v>
      </c>
      <c r="C408" s="27" t="n">
        <f aca="false">'IR Calculator'!C14+(398-0.5)*('IR Calculator'!C15-'IR Calculator'!C14)/MIN('IR Calculator'!C16,500)</f>
        <v>9.59</v>
      </c>
      <c r="D408" s="28" t="n">
        <f aca="false">('IR Calculator'!C15-'IR Calculator'!C14)/MIN('IR Calculator'!C16,500)</f>
        <v>0.004</v>
      </c>
      <c r="E408" s="29" t="n">
        <f aca="false">(2*'IR Calculator'!$C$5*'IR Calculator'!$C$6^2/((('IR Calculator'!C14+(398-0.5)*('IR Calculator'!C15-'IR Calculator'!C14)/MIN('IR Calculator'!C16,500))*0.000001)^5))/(EXP(MIN('IR Calculator'!$C$5*'IR Calculator'!$C$6/((('IR Calculator'!C14+(398-0.5)*('IR Calculator'!C15-'IR Calculator'!C14)/MIN('IR Calculator'!C16,500))*0.000001)*'IR Calculator'!$C$7*'IR Calculator'!$C$19),700))-1)*0.000001</f>
        <v>43.6262505570359</v>
      </c>
    </row>
    <row r="409" customFormat="false" ht="12.75" hidden="false" customHeight="true" outlineLevel="0" collapsed="false">
      <c r="B409" s="22" t="n">
        <v>399</v>
      </c>
      <c r="C409" s="23" t="n">
        <f aca="false">'IR Calculator'!C14+(399-0.5)*('IR Calculator'!C15-'IR Calculator'!C14)/MIN('IR Calculator'!C16,500)</f>
        <v>9.594</v>
      </c>
      <c r="D409" s="24" t="n">
        <f aca="false">('IR Calculator'!C15-'IR Calculator'!C14)/MIN('IR Calculator'!C16,500)</f>
        <v>0.004</v>
      </c>
      <c r="E409" s="25" t="n">
        <f aca="false">(2*'IR Calculator'!$C$5*'IR Calculator'!$C$6^2/((('IR Calculator'!C14+(399-0.5)*('IR Calculator'!C15-'IR Calculator'!C14)/MIN('IR Calculator'!C16,500))*0.000001)^5))/(EXP(MIN('IR Calculator'!$C$5*'IR Calculator'!$C$6/((('IR Calculator'!C14+(399-0.5)*('IR Calculator'!C15-'IR Calculator'!C14)/MIN('IR Calculator'!C16,500))*0.000001)*'IR Calculator'!$C$7*'IR Calculator'!$C$19),700))-1)*0.000001</f>
        <v>43.6017005776606</v>
      </c>
    </row>
    <row r="410" customFormat="false" ht="12.75" hidden="false" customHeight="true" outlineLevel="0" collapsed="false">
      <c r="B410" s="26" t="n">
        <v>400</v>
      </c>
      <c r="C410" s="27" t="n">
        <f aca="false">'IR Calculator'!C14+(400-0.5)*('IR Calculator'!C15-'IR Calculator'!C14)/MIN('IR Calculator'!C16,500)</f>
        <v>9.598</v>
      </c>
      <c r="D410" s="28" t="n">
        <f aca="false">('IR Calculator'!C15-'IR Calculator'!C14)/MIN('IR Calculator'!C16,500)</f>
        <v>0.004</v>
      </c>
      <c r="E410" s="29" t="n">
        <f aca="false">(2*'IR Calculator'!$C$5*'IR Calculator'!$C$6^2/((('IR Calculator'!C14+(400-0.5)*('IR Calculator'!C15-'IR Calculator'!C14)/MIN('IR Calculator'!C16,500))*0.000001)^5))/(EXP(MIN('IR Calculator'!$C$5*'IR Calculator'!$C$6/((('IR Calculator'!C14+(400-0.5)*('IR Calculator'!C15-'IR Calculator'!C14)/MIN('IR Calculator'!C16,500))*0.000001)*'IR Calculator'!$C$7*'IR Calculator'!$C$19),700))-1)*0.000001</f>
        <v>43.5771499138738</v>
      </c>
    </row>
    <row r="411" customFormat="false" ht="12.75" hidden="false" customHeight="true" outlineLevel="0" collapsed="false">
      <c r="B411" s="22" t="n">
        <v>401</v>
      </c>
      <c r="C411" s="23" t="n">
        <f aca="false">'IR Calculator'!C14+(401-0.5)*('IR Calculator'!C15-'IR Calculator'!C14)/MIN('IR Calculator'!C16,500)</f>
        <v>9.602</v>
      </c>
      <c r="D411" s="24" t="n">
        <f aca="false">('IR Calculator'!C15-'IR Calculator'!C14)/MIN('IR Calculator'!C16,500)</f>
        <v>0.004</v>
      </c>
      <c r="E411" s="25" t="n">
        <f aca="false">(2*'IR Calculator'!$C$5*'IR Calculator'!$C$6^2/((('IR Calculator'!C14+(401-0.5)*('IR Calculator'!C15-'IR Calculator'!C14)/MIN('IR Calculator'!C16,500))*0.000001)^5))/(EXP(MIN('IR Calculator'!$C$5*'IR Calculator'!$C$6/((('IR Calculator'!C14+(401-0.5)*('IR Calculator'!C15-'IR Calculator'!C14)/MIN('IR Calculator'!C16,500))*0.000001)*'IR Calculator'!$C$7*'IR Calculator'!$C$19),700))-1)*0.000001</f>
        <v>43.5525986171824</v>
      </c>
    </row>
    <row r="412" customFormat="false" ht="12.75" hidden="false" customHeight="true" outlineLevel="0" collapsed="false">
      <c r="B412" s="26" t="n">
        <v>402</v>
      </c>
      <c r="C412" s="27" t="n">
        <f aca="false">'IR Calculator'!C14+(402-0.5)*('IR Calculator'!C15-'IR Calculator'!C14)/MIN('IR Calculator'!C16,500)</f>
        <v>9.606</v>
      </c>
      <c r="D412" s="28" t="n">
        <f aca="false">('IR Calculator'!C15-'IR Calculator'!C14)/MIN('IR Calculator'!C16,500)</f>
        <v>0.004</v>
      </c>
      <c r="E412" s="29" t="n">
        <f aca="false">(2*'IR Calculator'!$C$5*'IR Calculator'!$C$6^2/((('IR Calculator'!C14+(402-0.5)*('IR Calculator'!C15-'IR Calculator'!C14)/MIN('IR Calculator'!C16,500))*0.000001)^5))/(EXP(MIN('IR Calculator'!$C$5*'IR Calculator'!$C$6/((('IR Calculator'!C14+(402-0.5)*('IR Calculator'!C15-'IR Calculator'!C14)/MIN('IR Calculator'!C16,500))*0.000001)*'IR Calculator'!$C$7*'IR Calculator'!$C$19),700))-1)*0.000001</f>
        <v>43.5280467389331</v>
      </c>
    </row>
    <row r="413" customFormat="false" ht="12.75" hidden="false" customHeight="true" outlineLevel="0" collapsed="false">
      <c r="B413" s="22" t="n">
        <v>403</v>
      </c>
      <c r="C413" s="23" t="n">
        <f aca="false">'IR Calculator'!C14+(403-0.5)*('IR Calculator'!C15-'IR Calculator'!C14)/MIN('IR Calculator'!C16,500)</f>
        <v>9.61</v>
      </c>
      <c r="D413" s="24" t="n">
        <f aca="false">('IR Calculator'!C15-'IR Calculator'!C14)/MIN('IR Calculator'!C16,500)</f>
        <v>0.004</v>
      </c>
      <c r="E413" s="25" t="n">
        <f aca="false">(2*'IR Calculator'!$C$5*'IR Calculator'!$C$6^2/((('IR Calculator'!C14+(403-0.5)*('IR Calculator'!C15-'IR Calculator'!C14)/MIN('IR Calculator'!C16,500))*0.000001)^5))/(EXP(MIN('IR Calculator'!$C$5*'IR Calculator'!$C$6/((('IR Calculator'!C14+(403-0.5)*('IR Calculator'!C15-'IR Calculator'!C14)/MIN('IR Calculator'!C16,500))*0.000001)*'IR Calculator'!$C$7*'IR Calculator'!$C$19),700))-1)*0.000001</f>
        <v>43.5034943303134</v>
      </c>
    </row>
    <row r="414" customFormat="false" ht="12.75" hidden="false" customHeight="true" outlineLevel="0" collapsed="false">
      <c r="B414" s="26" t="n">
        <v>404</v>
      </c>
      <c r="C414" s="27" t="n">
        <f aca="false">'IR Calculator'!C14+(404-0.5)*('IR Calculator'!C15-'IR Calculator'!C14)/MIN('IR Calculator'!C16,500)</f>
        <v>9.614</v>
      </c>
      <c r="D414" s="28" t="n">
        <f aca="false">('IR Calculator'!C15-'IR Calculator'!C14)/MIN('IR Calculator'!C16,500)</f>
        <v>0.004</v>
      </c>
      <c r="E414" s="29" t="n">
        <f aca="false">(2*'IR Calculator'!$C$5*'IR Calculator'!$C$6^2/((('IR Calculator'!C14+(404-0.5)*('IR Calculator'!C15-'IR Calculator'!C14)/MIN('IR Calculator'!C16,500))*0.000001)^5))/(EXP(MIN('IR Calculator'!$C$5*'IR Calculator'!$C$6/((('IR Calculator'!C14+(404-0.5)*('IR Calculator'!C15-'IR Calculator'!C14)/MIN('IR Calculator'!C16,500))*0.000001)*'IR Calculator'!$C$7*'IR Calculator'!$C$19),700))-1)*0.000001</f>
        <v>43.4789414423515</v>
      </c>
    </row>
    <row r="415" customFormat="false" ht="12.75" hidden="false" customHeight="true" outlineLevel="0" collapsed="false">
      <c r="B415" s="22" t="n">
        <v>405</v>
      </c>
      <c r="C415" s="23" t="n">
        <f aca="false">'IR Calculator'!C14+(405-0.5)*('IR Calculator'!C15-'IR Calculator'!C14)/MIN('IR Calculator'!C16,500)</f>
        <v>9.618</v>
      </c>
      <c r="D415" s="24" t="n">
        <f aca="false">('IR Calculator'!C15-'IR Calculator'!C14)/MIN('IR Calculator'!C16,500)</f>
        <v>0.004</v>
      </c>
      <c r="E415" s="25" t="n">
        <f aca="false">(2*'IR Calculator'!$C$5*'IR Calculator'!$C$6^2/((('IR Calculator'!C14+(405-0.5)*('IR Calculator'!C15-'IR Calculator'!C14)/MIN('IR Calculator'!C16,500))*0.000001)^5))/(EXP(MIN('IR Calculator'!$C$5*'IR Calculator'!$C$6/((('IR Calculator'!C14+(405-0.5)*('IR Calculator'!C15-'IR Calculator'!C14)/MIN('IR Calculator'!C16,500))*0.000001)*'IR Calculator'!$C$7*'IR Calculator'!$C$19),700))-1)*0.000001</f>
        <v>43.454388125917</v>
      </c>
    </row>
    <row r="416" customFormat="false" ht="12.75" hidden="false" customHeight="true" outlineLevel="0" collapsed="false">
      <c r="B416" s="26" t="n">
        <v>406</v>
      </c>
      <c r="C416" s="27" t="n">
        <f aca="false">'IR Calculator'!C14+(406-0.5)*('IR Calculator'!C15-'IR Calculator'!C14)/MIN('IR Calculator'!C16,500)</f>
        <v>9.622</v>
      </c>
      <c r="D416" s="28" t="n">
        <f aca="false">('IR Calculator'!C15-'IR Calculator'!C14)/MIN('IR Calculator'!C16,500)</f>
        <v>0.004</v>
      </c>
      <c r="E416" s="29" t="n">
        <f aca="false">(2*'IR Calculator'!$C$5*'IR Calculator'!$C$6^2/((('IR Calculator'!C14+(406-0.5)*('IR Calculator'!C15-'IR Calculator'!C14)/MIN('IR Calculator'!C16,500))*0.000001)^5))/(EXP(MIN('IR Calculator'!$C$5*'IR Calculator'!$C$6/((('IR Calculator'!C14+(406-0.5)*('IR Calculator'!C15-'IR Calculator'!C14)/MIN('IR Calculator'!C16,500))*0.000001)*'IR Calculator'!$C$7*'IR Calculator'!$C$19),700))-1)*0.000001</f>
        <v>43.429834431721</v>
      </c>
    </row>
    <row r="417" customFormat="false" ht="12.75" hidden="false" customHeight="true" outlineLevel="0" collapsed="false">
      <c r="B417" s="22" t="n">
        <v>407</v>
      </c>
      <c r="C417" s="23" t="n">
        <f aca="false">'IR Calculator'!C14+(407-0.5)*('IR Calculator'!C15-'IR Calculator'!C14)/MIN('IR Calculator'!C16,500)</f>
        <v>9.626</v>
      </c>
      <c r="D417" s="24" t="n">
        <f aca="false">('IR Calculator'!C15-'IR Calculator'!C14)/MIN('IR Calculator'!C16,500)</f>
        <v>0.004</v>
      </c>
      <c r="E417" s="25" t="n">
        <f aca="false">(2*'IR Calculator'!$C$5*'IR Calculator'!$C$6^2/((('IR Calculator'!C14+(407-0.5)*('IR Calculator'!C15-'IR Calculator'!C14)/MIN('IR Calculator'!C16,500))*0.000001)^5))/(EXP(MIN('IR Calculator'!$C$5*'IR Calculator'!$C$6/((('IR Calculator'!C14+(407-0.5)*('IR Calculator'!C15-'IR Calculator'!C14)/MIN('IR Calculator'!C16,500))*0.000001)*'IR Calculator'!$C$7*'IR Calculator'!$C$19),700))-1)*0.000001</f>
        <v>43.4052804103165</v>
      </c>
    </row>
    <row r="418" customFormat="false" ht="12.75" hidden="false" customHeight="true" outlineLevel="0" collapsed="false">
      <c r="B418" s="26" t="n">
        <v>408</v>
      </c>
      <c r="C418" s="27" t="n">
        <f aca="false">'IR Calculator'!C14+(408-0.5)*('IR Calculator'!C15-'IR Calculator'!C14)/MIN('IR Calculator'!C16,500)</f>
        <v>9.63</v>
      </c>
      <c r="D418" s="28" t="n">
        <f aca="false">('IR Calculator'!C15-'IR Calculator'!C14)/MIN('IR Calculator'!C16,500)</f>
        <v>0.004</v>
      </c>
      <c r="E418" s="29" t="n">
        <f aca="false">(2*'IR Calculator'!$C$5*'IR Calculator'!$C$6^2/((('IR Calculator'!C14+(408-0.5)*('IR Calculator'!C15-'IR Calculator'!C14)/MIN('IR Calculator'!C16,500))*0.000001)^5))/(EXP(MIN('IR Calculator'!$C$5*'IR Calculator'!$C$6/((('IR Calculator'!C14+(408-0.5)*('IR Calculator'!C15-'IR Calculator'!C14)/MIN('IR Calculator'!C16,500))*0.000001)*'IR Calculator'!$C$7*'IR Calculator'!$C$19),700))-1)*0.000001</f>
        <v>43.3807261120987</v>
      </c>
    </row>
    <row r="419" customFormat="false" ht="12.75" hidden="false" customHeight="true" outlineLevel="0" collapsed="false">
      <c r="B419" s="22" t="n">
        <v>409</v>
      </c>
      <c r="C419" s="23" t="n">
        <f aca="false">'IR Calculator'!C14+(409-0.5)*('IR Calculator'!C15-'IR Calculator'!C14)/MIN('IR Calculator'!C16,500)</f>
        <v>9.634</v>
      </c>
      <c r="D419" s="24" t="n">
        <f aca="false">('IR Calculator'!C15-'IR Calculator'!C14)/MIN('IR Calculator'!C16,500)</f>
        <v>0.004</v>
      </c>
      <c r="E419" s="25" t="n">
        <f aca="false">(2*'IR Calculator'!$C$5*'IR Calculator'!$C$6^2/((('IR Calculator'!C14+(409-0.5)*('IR Calculator'!C15-'IR Calculator'!C14)/MIN('IR Calculator'!C16,500))*0.000001)^5))/(EXP(MIN('IR Calculator'!$C$5*'IR Calculator'!$C$6/((('IR Calculator'!C14+(409-0.5)*('IR Calculator'!C15-'IR Calculator'!C14)/MIN('IR Calculator'!C16,500))*0.000001)*'IR Calculator'!$C$7*'IR Calculator'!$C$19),700))-1)*0.000001</f>
        <v>43.3561715873056</v>
      </c>
    </row>
    <row r="420" customFormat="false" ht="12.75" hidden="false" customHeight="true" outlineLevel="0" collapsed="false">
      <c r="B420" s="26" t="n">
        <v>410</v>
      </c>
      <c r="C420" s="27" t="n">
        <f aca="false">'IR Calculator'!C14+(410-0.5)*('IR Calculator'!C15-'IR Calculator'!C14)/MIN('IR Calculator'!C16,500)</f>
        <v>9.638</v>
      </c>
      <c r="D420" s="28" t="n">
        <f aca="false">('IR Calculator'!C15-'IR Calculator'!C14)/MIN('IR Calculator'!C16,500)</f>
        <v>0.004</v>
      </c>
      <c r="E420" s="29" t="n">
        <f aca="false">(2*'IR Calculator'!$C$5*'IR Calculator'!$C$6^2/((('IR Calculator'!C14+(410-0.5)*('IR Calculator'!C15-'IR Calculator'!C14)/MIN('IR Calculator'!C16,500))*0.000001)^5))/(EXP(MIN('IR Calculator'!$C$5*'IR Calculator'!$C$6/((('IR Calculator'!C14+(410-0.5)*('IR Calculator'!C15-'IR Calculator'!C14)/MIN('IR Calculator'!C16,500))*0.000001)*'IR Calculator'!$C$7*'IR Calculator'!$C$19),700))-1)*0.000001</f>
        <v>43.331616886018</v>
      </c>
    </row>
    <row r="421" customFormat="false" ht="12.75" hidden="false" customHeight="true" outlineLevel="0" collapsed="false">
      <c r="B421" s="22" t="n">
        <v>411</v>
      </c>
      <c r="C421" s="23" t="n">
        <f aca="false">'IR Calculator'!C14+(411-0.5)*('IR Calculator'!C15-'IR Calculator'!C14)/MIN('IR Calculator'!C16,500)</f>
        <v>9.642</v>
      </c>
      <c r="D421" s="24" t="n">
        <f aca="false">('IR Calculator'!C15-'IR Calculator'!C14)/MIN('IR Calculator'!C16,500)</f>
        <v>0.004</v>
      </c>
      <c r="E421" s="25" t="n">
        <f aca="false">(2*'IR Calculator'!$C$5*'IR Calculator'!$C$6^2/((('IR Calculator'!C14+(411-0.5)*('IR Calculator'!C15-'IR Calculator'!C14)/MIN('IR Calculator'!C16,500))*0.000001)^5))/(EXP(MIN('IR Calculator'!$C$5*'IR Calculator'!$C$6/((('IR Calculator'!C14+(411-0.5)*('IR Calculator'!C15-'IR Calculator'!C14)/MIN('IR Calculator'!C16,500))*0.000001)*'IR Calculator'!$C$7*'IR Calculator'!$C$19),700))-1)*0.000001</f>
        <v>43.3070620581603</v>
      </c>
    </row>
    <row r="422" customFormat="false" ht="12.75" hidden="false" customHeight="true" outlineLevel="0" collapsed="false">
      <c r="B422" s="26" t="n">
        <v>412</v>
      </c>
      <c r="C422" s="27" t="n">
        <f aca="false">'IR Calculator'!C14+(412-0.5)*('IR Calculator'!C15-'IR Calculator'!C14)/MIN('IR Calculator'!C16,500)</f>
        <v>9.646</v>
      </c>
      <c r="D422" s="28" t="n">
        <f aca="false">('IR Calculator'!C15-'IR Calculator'!C14)/MIN('IR Calculator'!C16,500)</f>
        <v>0.004</v>
      </c>
      <c r="E422" s="29" t="n">
        <f aca="false">(2*'IR Calculator'!$C$5*'IR Calculator'!$C$6^2/((('IR Calculator'!C14+(412-0.5)*('IR Calculator'!C15-'IR Calculator'!C14)/MIN('IR Calculator'!C16,500))*0.000001)^5))/(EXP(MIN('IR Calculator'!$C$5*'IR Calculator'!$C$6/((('IR Calculator'!C14+(412-0.5)*('IR Calculator'!C15-'IR Calculator'!C14)/MIN('IR Calculator'!C16,500))*0.000001)*'IR Calculator'!$C$7*'IR Calculator'!$C$19),700))-1)*0.000001</f>
        <v>43.2825071535002</v>
      </c>
    </row>
    <row r="423" customFormat="false" ht="12.75" hidden="false" customHeight="true" outlineLevel="0" collapsed="false">
      <c r="B423" s="22" t="n">
        <v>413</v>
      </c>
      <c r="C423" s="23" t="n">
        <f aca="false">'IR Calculator'!C14+(413-0.5)*('IR Calculator'!C15-'IR Calculator'!C14)/MIN('IR Calculator'!C16,500)</f>
        <v>9.65</v>
      </c>
      <c r="D423" s="24" t="n">
        <f aca="false">('IR Calculator'!C15-'IR Calculator'!C14)/MIN('IR Calculator'!C16,500)</f>
        <v>0.004</v>
      </c>
      <c r="E423" s="25" t="n">
        <f aca="false">(2*'IR Calculator'!$C$5*'IR Calculator'!$C$6^2/((('IR Calculator'!C14+(413-0.5)*('IR Calculator'!C15-'IR Calculator'!C14)/MIN('IR Calculator'!C16,500))*0.000001)^5))/(EXP(MIN('IR Calculator'!$C$5*'IR Calculator'!$C$6/((('IR Calculator'!C14+(413-0.5)*('IR Calculator'!C15-'IR Calculator'!C14)/MIN('IR Calculator'!C16,500))*0.000001)*'IR Calculator'!$C$7*'IR Calculator'!$C$19),700))-1)*0.000001</f>
        <v>43.2579522216496</v>
      </c>
    </row>
    <row r="424" customFormat="false" ht="12.75" hidden="false" customHeight="true" outlineLevel="0" collapsed="false">
      <c r="B424" s="26" t="n">
        <v>414</v>
      </c>
      <c r="C424" s="27" t="n">
        <f aca="false">'IR Calculator'!C14+(414-0.5)*('IR Calculator'!C15-'IR Calculator'!C14)/MIN('IR Calculator'!C16,500)</f>
        <v>9.654</v>
      </c>
      <c r="D424" s="28" t="n">
        <f aca="false">('IR Calculator'!C15-'IR Calculator'!C14)/MIN('IR Calculator'!C16,500)</f>
        <v>0.004</v>
      </c>
      <c r="E424" s="29" t="n">
        <f aca="false">(2*'IR Calculator'!$C$5*'IR Calculator'!$C$6^2/((('IR Calculator'!C14+(414-0.5)*('IR Calculator'!C15-'IR Calculator'!C14)/MIN('IR Calculator'!C16,500))*0.000001)^5))/(EXP(MIN('IR Calculator'!$C$5*'IR Calculator'!$C$6/((('IR Calculator'!C14+(414-0.5)*('IR Calculator'!C15-'IR Calculator'!C14)/MIN('IR Calculator'!C16,500))*0.000001)*'IR Calculator'!$C$7*'IR Calculator'!$C$19),700))-1)*0.000001</f>
        <v>43.2333973120649</v>
      </c>
    </row>
    <row r="425" customFormat="false" ht="12.75" hidden="false" customHeight="true" outlineLevel="0" collapsed="false">
      <c r="B425" s="22" t="n">
        <v>415</v>
      </c>
      <c r="C425" s="23" t="n">
        <f aca="false">'IR Calculator'!C14+(415-0.5)*('IR Calculator'!C15-'IR Calculator'!C14)/MIN('IR Calculator'!C16,500)</f>
        <v>9.658</v>
      </c>
      <c r="D425" s="24" t="n">
        <f aca="false">('IR Calculator'!C15-'IR Calculator'!C14)/MIN('IR Calculator'!C16,500)</f>
        <v>0.004</v>
      </c>
      <c r="E425" s="25" t="n">
        <f aca="false">(2*'IR Calculator'!$C$5*'IR Calculator'!$C$6^2/((('IR Calculator'!C14+(415-0.5)*('IR Calculator'!C15-'IR Calculator'!C14)/MIN('IR Calculator'!C16,500))*0.000001)^5))/(EXP(MIN('IR Calculator'!$C$5*'IR Calculator'!$C$6/((('IR Calculator'!C14+(415-0.5)*('IR Calculator'!C15-'IR Calculator'!C14)/MIN('IR Calculator'!C16,500))*0.000001)*'IR Calculator'!$C$7*'IR Calculator'!$C$19),700))-1)*0.000001</f>
        <v>43.208842474047</v>
      </c>
    </row>
    <row r="426" customFormat="false" ht="12.75" hidden="false" customHeight="true" outlineLevel="0" collapsed="false">
      <c r="B426" s="26" t="n">
        <v>416</v>
      </c>
      <c r="C426" s="27" t="n">
        <f aca="false">'IR Calculator'!C14+(416-0.5)*('IR Calculator'!C15-'IR Calculator'!C14)/MIN('IR Calculator'!C16,500)</f>
        <v>9.662</v>
      </c>
      <c r="D426" s="28" t="n">
        <f aca="false">('IR Calculator'!C15-'IR Calculator'!C14)/MIN('IR Calculator'!C16,500)</f>
        <v>0.004</v>
      </c>
      <c r="E426" s="29" t="n">
        <f aca="false">(2*'IR Calculator'!$C$5*'IR Calculator'!$C$6^2/((('IR Calculator'!C14+(416-0.5)*('IR Calculator'!C15-'IR Calculator'!C14)/MIN('IR Calculator'!C16,500))*0.000001)^5))/(EXP(MIN('IR Calculator'!$C$5*'IR Calculator'!$C$6/((('IR Calculator'!C14+(416-0.5)*('IR Calculator'!C15-'IR Calculator'!C14)/MIN('IR Calculator'!C16,500))*0.000001)*'IR Calculator'!$C$7*'IR Calculator'!$C$19),700))-1)*0.000001</f>
        <v>43.1842877567419</v>
      </c>
    </row>
    <row r="427" customFormat="false" ht="12.75" hidden="false" customHeight="true" outlineLevel="0" collapsed="false">
      <c r="B427" s="22" t="n">
        <v>417</v>
      </c>
      <c r="C427" s="23" t="n">
        <f aca="false">'IR Calculator'!C14+(417-0.5)*('IR Calculator'!C15-'IR Calculator'!C14)/MIN('IR Calculator'!C16,500)</f>
        <v>9.666</v>
      </c>
      <c r="D427" s="24" t="n">
        <f aca="false">('IR Calculator'!C15-'IR Calculator'!C14)/MIN('IR Calculator'!C16,500)</f>
        <v>0.004</v>
      </c>
      <c r="E427" s="25" t="n">
        <f aca="false">(2*'IR Calculator'!$C$5*'IR Calculator'!$C$6^2/((('IR Calculator'!C14+(417-0.5)*('IR Calculator'!C15-'IR Calculator'!C14)/MIN('IR Calculator'!C16,500))*0.000001)^5))/(EXP(MIN('IR Calculator'!$C$5*'IR Calculator'!$C$6/((('IR Calculator'!C14+(417-0.5)*('IR Calculator'!C15-'IR Calculator'!C14)/MIN('IR Calculator'!C16,500))*0.000001)*'IR Calculator'!$C$7*'IR Calculator'!$C$19),700))-1)*0.000001</f>
        <v>43.1597332091411</v>
      </c>
    </row>
    <row r="428" customFormat="false" ht="12.75" hidden="false" customHeight="true" outlineLevel="0" collapsed="false">
      <c r="B428" s="26" t="n">
        <v>418</v>
      </c>
      <c r="C428" s="27" t="n">
        <f aca="false">'IR Calculator'!C14+(418-0.5)*('IR Calculator'!C15-'IR Calculator'!C14)/MIN('IR Calculator'!C16,500)</f>
        <v>9.67</v>
      </c>
      <c r="D428" s="28" t="n">
        <f aca="false">('IR Calculator'!C15-'IR Calculator'!C14)/MIN('IR Calculator'!C16,500)</f>
        <v>0.004</v>
      </c>
      <c r="E428" s="29" t="n">
        <f aca="false">(2*'IR Calculator'!$C$5*'IR Calculator'!$C$6^2/((('IR Calculator'!C14+(418-0.5)*('IR Calculator'!C15-'IR Calculator'!C14)/MIN('IR Calculator'!C16,500))*0.000001)^5))/(EXP(MIN('IR Calculator'!$C$5*'IR Calculator'!$C$6/((('IR Calculator'!C14+(418-0.5)*('IR Calculator'!C15-'IR Calculator'!C14)/MIN('IR Calculator'!C16,500))*0.000001)*'IR Calculator'!$C$7*'IR Calculator'!$C$19),700))-1)*0.000001</f>
        <v>43.1351788800817</v>
      </c>
    </row>
    <row r="429" customFormat="false" ht="12.75" hidden="false" customHeight="true" outlineLevel="0" collapsed="false">
      <c r="B429" s="22" t="n">
        <v>419</v>
      </c>
      <c r="C429" s="23" t="n">
        <f aca="false">'IR Calculator'!C14+(419-0.5)*('IR Calculator'!C15-'IR Calculator'!C14)/MIN('IR Calculator'!C16,500)</f>
        <v>9.674</v>
      </c>
      <c r="D429" s="24" t="n">
        <f aca="false">('IR Calculator'!C15-'IR Calculator'!C14)/MIN('IR Calculator'!C16,500)</f>
        <v>0.004</v>
      </c>
      <c r="E429" s="25" t="n">
        <f aca="false">(2*'IR Calculator'!$C$5*'IR Calculator'!$C$6^2/((('IR Calculator'!C14+(419-0.5)*('IR Calculator'!C15-'IR Calculator'!C14)/MIN('IR Calculator'!C16,500))*0.000001)^5))/(EXP(MIN('IR Calculator'!$C$5*'IR Calculator'!$C$6/((('IR Calculator'!C14+(419-0.5)*('IR Calculator'!C15-'IR Calculator'!C14)/MIN('IR Calculator'!C16,500))*0.000001)*'IR Calculator'!$C$7*'IR Calculator'!$C$19),700))-1)*0.000001</f>
        <v>43.1106248182469</v>
      </c>
    </row>
    <row r="430" customFormat="false" ht="12.75" hidden="false" customHeight="true" outlineLevel="0" collapsed="false">
      <c r="B430" s="26" t="n">
        <v>420</v>
      </c>
      <c r="C430" s="27" t="n">
        <f aca="false">'IR Calculator'!C14+(420-0.5)*('IR Calculator'!C15-'IR Calculator'!C14)/MIN('IR Calculator'!C16,500)</f>
        <v>9.678</v>
      </c>
      <c r="D430" s="28" t="n">
        <f aca="false">('IR Calculator'!C15-'IR Calculator'!C14)/MIN('IR Calculator'!C16,500)</f>
        <v>0.004</v>
      </c>
      <c r="E430" s="29" t="n">
        <f aca="false">(2*'IR Calculator'!$C$5*'IR Calculator'!$C$6^2/((('IR Calculator'!C14+(420-0.5)*('IR Calculator'!C15-'IR Calculator'!C14)/MIN('IR Calculator'!C16,500))*0.000001)^5))/(EXP(MIN('IR Calculator'!$C$5*'IR Calculator'!$C$6/((('IR Calculator'!C14+(420-0.5)*('IR Calculator'!C15-'IR Calculator'!C14)/MIN('IR Calculator'!C16,500))*0.000001)*'IR Calculator'!$C$7*'IR Calculator'!$C$19),700))-1)*0.000001</f>
        <v>43.0860710721666</v>
      </c>
    </row>
    <row r="431" customFormat="false" ht="12.75" hidden="false" customHeight="true" outlineLevel="0" collapsed="false">
      <c r="B431" s="22" t="n">
        <v>421</v>
      </c>
      <c r="C431" s="23" t="n">
        <f aca="false">'IR Calculator'!C14+(421-0.5)*('IR Calculator'!C15-'IR Calculator'!C14)/MIN('IR Calculator'!C16,500)</f>
        <v>9.682</v>
      </c>
      <c r="D431" s="24" t="n">
        <f aca="false">('IR Calculator'!C15-'IR Calculator'!C14)/MIN('IR Calculator'!C16,500)</f>
        <v>0.004</v>
      </c>
      <c r="E431" s="25" t="n">
        <f aca="false">(2*'IR Calculator'!$C$5*'IR Calculator'!$C$6^2/((('IR Calculator'!C14+(421-0.5)*('IR Calculator'!C15-'IR Calculator'!C14)/MIN('IR Calculator'!C16,500))*0.000001)^5))/(EXP(MIN('IR Calculator'!$C$5*'IR Calculator'!$C$6/((('IR Calculator'!C14+(421-0.5)*('IR Calculator'!C15-'IR Calculator'!C14)/MIN('IR Calculator'!C16,500))*0.000001)*'IR Calculator'!$C$7*'IR Calculator'!$C$19),700))-1)*0.000001</f>
        <v>43.0615176902172</v>
      </c>
    </row>
    <row r="432" customFormat="false" ht="12.75" hidden="false" customHeight="true" outlineLevel="0" collapsed="false">
      <c r="B432" s="26" t="n">
        <v>422</v>
      </c>
      <c r="C432" s="27" t="n">
        <f aca="false">'IR Calculator'!C14+(422-0.5)*('IR Calculator'!C15-'IR Calculator'!C14)/MIN('IR Calculator'!C16,500)</f>
        <v>9.686</v>
      </c>
      <c r="D432" s="28" t="n">
        <f aca="false">('IR Calculator'!C15-'IR Calculator'!C14)/MIN('IR Calculator'!C16,500)</f>
        <v>0.004</v>
      </c>
      <c r="E432" s="29" t="n">
        <f aca="false">(2*'IR Calculator'!$C$5*'IR Calculator'!$C$6^2/((('IR Calculator'!C14+(422-0.5)*('IR Calculator'!C15-'IR Calculator'!C14)/MIN('IR Calculator'!C16,500))*0.000001)^5))/(EXP(MIN('IR Calculator'!$C$5*'IR Calculator'!$C$6/((('IR Calculator'!C14+(422-0.5)*('IR Calculator'!C15-'IR Calculator'!C14)/MIN('IR Calculator'!C16,500))*0.000001)*'IR Calculator'!$C$7*'IR Calculator'!$C$19),700))-1)*0.000001</f>
        <v>43.0369647206223</v>
      </c>
    </row>
    <row r="433" customFormat="false" ht="12.75" hidden="false" customHeight="true" outlineLevel="0" collapsed="false">
      <c r="B433" s="22" t="n">
        <v>423</v>
      </c>
      <c r="C433" s="23" t="n">
        <f aca="false">'IR Calculator'!C14+(423-0.5)*('IR Calculator'!C15-'IR Calculator'!C14)/MIN('IR Calculator'!C16,500)</f>
        <v>9.69</v>
      </c>
      <c r="D433" s="24" t="n">
        <f aca="false">('IR Calculator'!C15-'IR Calculator'!C14)/MIN('IR Calculator'!C16,500)</f>
        <v>0.004</v>
      </c>
      <c r="E433" s="25" t="n">
        <f aca="false">(2*'IR Calculator'!$C$5*'IR Calculator'!$C$6^2/((('IR Calculator'!C14+(423-0.5)*('IR Calculator'!C15-'IR Calculator'!C14)/MIN('IR Calculator'!C16,500))*0.000001)^5))/(EXP(MIN('IR Calculator'!$C$5*'IR Calculator'!$C$6/((('IR Calculator'!C14+(423-0.5)*('IR Calculator'!C15-'IR Calculator'!C14)/MIN('IR Calculator'!C16,500))*0.000001)*'IR Calculator'!$C$7*'IR Calculator'!$C$19),700))-1)*0.000001</f>
        <v>43.012412211453</v>
      </c>
    </row>
    <row r="434" customFormat="false" ht="12.75" hidden="false" customHeight="true" outlineLevel="0" collapsed="false">
      <c r="B434" s="26" t="n">
        <v>424</v>
      </c>
      <c r="C434" s="27" t="n">
        <f aca="false">'IR Calculator'!C14+(424-0.5)*('IR Calculator'!C15-'IR Calculator'!C14)/MIN('IR Calculator'!C16,500)</f>
        <v>9.694</v>
      </c>
      <c r="D434" s="28" t="n">
        <f aca="false">('IR Calculator'!C15-'IR Calculator'!C14)/MIN('IR Calculator'!C16,500)</f>
        <v>0.004</v>
      </c>
      <c r="E434" s="29" t="n">
        <f aca="false">(2*'IR Calculator'!$C$5*'IR Calculator'!$C$6^2/((('IR Calculator'!C14+(424-0.5)*('IR Calculator'!C15-'IR Calculator'!C14)/MIN('IR Calculator'!C16,500))*0.000001)^5))/(EXP(MIN('IR Calculator'!$C$5*'IR Calculator'!$C$6/((('IR Calculator'!C14+(424-0.5)*('IR Calculator'!C15-'IR Calculator'!C14)/MIN('IR Calculator'!C16,500))*0.000001)*'IR Calculator'!$C$7*'IR Calculator'!$C$19),700))-1)*0.000001</f>
        <v>42.9878602106281</v>
      </c>
    </row>
    <row r="435" customFormat="false" ht="12.75" hidden="false" customHeight="true" outlineLevel="0" collapsed="false">
      <c r="B435" s="22" t="n">
        <v>425</v>
      </c>
      <c r="C435" s="23" t="n">
        <f aca="false">'IR Calculator'!C14+(425-0.5)*('IR Calculator'!C15-'IR Calculator'!C14)/MIN('IR Calculator'!C16,500)</f>
        <v>9.698</v>
      </c>
      <c r="D435" s="24" t="n">
        <f aca="false">('IR Calculator'!C15-'IR Calculator'!C14)/MIN('IR Calculator'!C16,500)</f>
        <v>0.004</v>
      </c>
      <c r="E435" s="25" t="n">
        <f aca="false">(2*'IR Calculator'!$C$5*'IR Calculator'!$C$6^2/((('IR Calculator'!C14+(425-0.5)*('IR Calculator'!C15-'IR Calculator'!C14)/MIN('IR Calculator'!C16,500))*0.000001)^5))/(EXP(MIN('IR Calculator'!$C$5*'IR Calculator'!$C$6/((('IR Calculator'!C14+(425-0.5)*('IR Calculator'!C15-'IR Calculator'!C14)/MIN('IR Calculator'!C16,500))*0.000001)*'IR Calculator'!$C$7*'IR Calculator'!$C$19),700))-1)*0.000001</f>
        <v>42.9633087659147</v>
      </c>
    </row>
    <row r="436" customFormat="false" ht="12.75" hidden="false" customHeight="true" outlineLevel="0" collapsed="false">
      <c r="B436" s="26" t="n">
        <v>426</v>
      </c>
      <c r="C436" s="27" t="n">
        <f aca="false">'IR Calculator'!C14+(426-0.5)*('IR Calculator'!C15-'IR Calculator'!C14)/MIN('IR Calculator'!C16,500)</f>
        <v>9.702</v>
      </c>
      <c r="D436" s="28" t="n">
        <f aca="false">('IR Calculator'!C15-'IR Calculator'!C14)/MIN('IR Calculator'!C16,500)</f>
        <v>0.004</v>
      </c>
      <c r="E436" s="29" t="n">
        <f aca="false">(2*'IR Calculator'!$C$5*'IR Calculator'!$C$6^2/((('IR Calculator'!C14+(426-0.5)*('IR Calculator'!C15-'IR Calculator'!C14)/MIN('IR Calculator'!C16,500))*0.000001)^5))/(EXP(MIN('IR Calculator'!$C$5*'IR Calculator'!$C$6/((('IR Calculator'!C14+(426-0.5)*('IR Calculator'!C15-'IR Calculator'!C14)/MIN('IR Calculator'!C16,500))*0.000001)*'IR Calculator'!$C$7*'IR Calculator'!$C$19),700))-1)*0.000001</f>
        <v>42.9387579249283</v>
      </c>
    </row>
    <row r="437" customFormat="false" ht="12.75" hidden="false" customHeight="true" outlineLevel="0" collapsed="false">
      <c r="B437" s="22" t="n">
        <v>427</v>
      </c>
      <c r="C437" s="23" t="n">
        <f aca="false">'IR Calculator'!C14+(427-0.5)*('IR Calculator'!C15-'IR Calculator'!C14)/MIN('IR Calculator'!C16,500)</f>
        <v>9.706</v>
      </c>
      <c r="D437" s="24" t="n">
        <f aca="false">('IR Calculator'!C15-'IR Calculator'!C14)/MIN('IR Calculator'!C16,500)</f>
        <v>0.004</v>
      </c>
      <c r="E437" s="25" t="n">
        <f aca="false">(2*'IR Calculator'!$C$5*'IR Calculator'!$C$6^2/((('IR Calculator'!C14+(427-0.5)*('IR Calculator'!C15-'IR Calculator'!C14)/MIN('IR Calculator'!C16,500))*0.000001)^5))/(EXP(MIN('IR Calculator'!$C$5*'IR Calculator'!$C$6/((('IR Calculator'!C14+(427-0.5)*('IR Calculator'!C15-'IR Calculator'!C14)/MIN('IR Calculator'!C16,500))*0.000001)*'IR Calculator'!$C$7*'IR Calculator'!$C$19),700))-1)*0.000001</f>
        <v>42.9142077351333</v>
      </c>
    </row>
    <row r="438" customFormat="false" ht="12.75" hidden="false" customHeight="true" outlineLevel="0" collapsed="false">
      <c r="B438" s="26" t="n">
        <v>428</v>
      </c>
      <c r="C438" s="27" t="n">
        <f aca="false">'IR Calculator'!C14+(428-0.5)*('IR Calculator'!C15-'IR Calculator'!C14)/MIN('IR Calculator'!C16,500)</f>
        <v>9.71</v>
      </c>
      <c r="D438" s="28" t="n">
        <f aca="false">('IR Calculator'!C15-'IR Calculator'!C14)/MIN('IR Calculator'!C16,500)</f>
        <v>0.004</v>
      </c>
      <c r="E438" s="29" t="n">
        <f aca="false">(2*'IR Calculator'!$C$5*'IR Calculator'!$C$6^2/((('IR Calculator'!C14+(428-0.5)*('IR Calculator'!C15-'IR Calculator'!C14)/MIN('IR Calculator'!C16,500))*0.000001)^5))/(EXP(MIN('IR Calculator'!$C$5*'IR Calculator'!$C$6/((('IR Calculator'!C14+(428-0.5)*('IR Calculator'!C15-'IR Calculator'!C14)/MIN('IR Calculator'!C16,500))*0.000001)*'IR Calculator'!$C$7*'IR Calculator'!$C$19),700))-1)*0.000001</f>
        <v>42.889658243843</v>
      </c>
    </row>
    <row r="439" customFormat="false" ht="12.75" hidden="false" customHeight="true" outlineLevel="0" collapsed="false">
      <c r="B439" s="22" t="n">
        <v>429</v>
      </c>
      <c r="C439" s="23" t="n">
        <f aca="false">'IR Calculator'!C14+(429-0.5)*('IR Calculator'!C15-'IR Calculator'!C14)/MIN('IR Calculator'!C16,500)</f>
        <v>9.714</v>
      </c>
      <c r="D439" s="24" t="n">
        <f aca="false">('IR Calculator'!C15-'IR Calculator'!C14)/MIN('IR Calculator'!C16,500)</f>
        <v>0.004</v>
      </c>
      <c r="E439" s="25" t="n">
        <f aca="false">(2*'IR Calculator'!$C$5*'IR Calculator'!$C$6^2/((('IR Calculator'!C14+(429-0.5)*('IR Calculator'!C15-'IR Calculator'!C14)/MIN('IR Calculator'!C16,500))*0.000001)^5))/(EXP(MIN('IR Calculator'!$C$5*'IR Calculator'!$C$6/((('IR Calculator'!C14+(429-0.5)*('IR Calculator'!C15-'IR Calculator'!C14)/MIN('IR Calculator'!C16,500))*0.000001)*'IR Calculator'!$C$7*'IR Calculator'!$C$19),700))-1)*0.000001</f>
        <v>42.8651094982207</v>
      </c>
    </row>
    <row r="440" customFormat="false" ht="12.75" hidden="false" customHeight="true" outlineLevel="0" collapsed="false">
      <c r="B440" s="26" t="n">
        <v>430</v>
      </c>
      <c r="C440" s="27" t="n">
        <f aca="false">'IR Calculator'!C14+(430-0.5)*('IR Calculator'!C15-'IR Calculator'!C14)/MIN('IR Calculator'!C16,500)</f>
        <v>9.718</v>
      </c>
      <c r="D440" s="28" t="n">
        <f aca="false">('IR Calculator'!C15-'IR Calculator'!C14)/MIN('IR Calculator'!C16,500)</f>
        <v>0.004</v>
      </c>
      <c r="E440" s="29" t="n">
        <f aca="false">(2*'IR Calculator'!$C$5*'IR Calculator'!$C$6^2/((('IR Calculator'!C14+(430-0.5)*('IR Calculator'!C15-'IR Calculator'!C14)/MIN('IR Calculator'!C16,500))*0.000001)^5))/(EXP(MIN('IR Calculator'!$C$5*'IR Calculator'!$C$6/((('IR Calculator'!C14+(430-0.5)*('IR Calculator'!C15-'IR Calculator'!C14)/MIN('IR Calculator'!C16,500))*0.000001)*'IR Calculator'!$C$7*'IR Calculator'!$C$19),700))-1)*0.000001</f>
        <v>42.8405615452793</v>
      </c>
    </row>
    <row r="441" customFormat="false" ht="12.75" hidden="false" customHeight="true" outlineLevel="0" collapsed="false">
      <c r="B441" s="22" t="n">
        <v>431</v>
      </c>
      <c r="C441" s="23" t="n">
        <f aca="false">'IR Calculator'!C14+(431-0.5)*('IR Calculator'!C15-'IR Calculator'!C14)/MIN('IR Calculator'!C16,500)</f>
        <v>9.722</v>
      </c>
      <c r="D441" s="24" t="n">
        <f aca="false">('IR Calculator'!C15-'IR Calculator'!C14)/MIN('IR Calculator'!C16,500)</f>
        <v>0.004</v>
      </c>
      <c r="E441" s="25" t="n">
        <f aca="false">(2*'IR Calculator'!$C$5*'IR Calculator'!$C$6^2/((('IR Calculator'!C14+(431-0.5)*('IR Calculator'!C15-'IR Calculator'!C14)/MIN('IR Calculator'!C16,500))*0.000001)^5))/(EXP(MIN('IR Calculator'!$C$5*'IR Calculator'!$C$6/((('IR Calculator'!C14+(431-0.5)*('IR Calculator'!C15-'IR Calculator'!C14)/MIN('IR Calculator'!C16,500))*0.000001)*'IR Calculator'!$C$7*'IR Calculator'!$C$19),700))-1)*0.000001</f>
        <v>42.8160144318816</v>
      </c>
    </row>
    <row r="442" customFormat="false" ht="12.75" hidden="false" customHeight="true" outlineLevel="0" collapsed="false">
      <c r="B442" s="26" t="n">
        <v>432</v>
      </c>
      <c r="C442" s="27" t="n">
        <f aca="false">'IR Calculator'!C14+(432-0.5)*('IR Calculator'!C15-'IR Calculator'!C14)/MIN('IR Calculator'!C16,500)</f>
        <v>9.726</v>
      </c>
      <c r="D442" s="28" t="n">
        <f aca="false">('IR Calculator'!C15-'IR Calculator'!C14)/MIN('IR Calculator'!C16,500)</f>
        <v>0.004</v>
      </c>
      <c r="E442" s="29" t="n">
        <f aca="false">(2*'IR Calculator'!$C$5*'IR Calculator'!$C$6^2/((('IR Calculator'!C14+(432-0.5)*('IR Calculator'!C15-'IR Calculator'!C14)/MIN('IR Calculator'!C16,500))*0.000001)^5))/(EXP(MIN('IR Calculator'!$C$5*'IR Calculator'!$C$6/((('IR Calculator'!C14+(432-0.5)*('IR Calculator'!C15-'IR Calculator'!C14)/MIN('IR Calculator'!C16,500))*0.000001)*'IR Calculator'!$C$7*'IR Calculator'!$C$19),700))-1)*0.000001</f>
        <v>42.7914682047414</v>
      </c>
    </row>
    <row r="443" customFormat="false" ht="12.75" hidden="false" customHeight="true" outlineLevel="0" collapsed="false">
      <c r="B443" s="22" t="n">
        <v>433</v>
      </c>
      <c r="C443" s="23" t="n">
        <f aca="false">'IR Calculator'!C14+(433-0.5)*('IR Calculator'!C15-'IR Calculator'!C14)/MIN('IR Calculator'!C16,500)</f>
        <v>9.73</v>
      </c>
      <c r="D443" s="24" t="n">
        <f aca="false">('IR Calculator'!C15-'IR Calculator'!C14)/MIN('IR Calculator'!C16,500)</f>
        <v>0.004</v>
      </c>
      <c r="E443" s="25" t="n">
        <f aca="false">(2*'IR Calculator'!$C$5*'IR Calculator'!$C$6^2/((('IR Calculator'!C14+(433-0.5)*('IR Calculator'!C15-'IR Calculator'!C14)/MIN('IR Calculator'!C16,500))*0.000001)^5))/(EXP(MIN('IR Calculator'!$C$5*'IR Calculator'!$C$6/((('IR Calculator'!C14+(433-0.5)*('IR Calculator'!C15-'IR Calculator'!C14)/MIN('IR Calculator'!C16,500))*0.000001)*'IR Calculator'!$C$7*'IR Calculator'!$C$19),700))-1)*0.000001</f>
        <v>42.7669229104232</v>
      </c>
    </row>
    <row r="444" customFormat="false" ht="12.75" hidden="false" customHeight="true" outlineLevel="0" collapsed="false">
      <c r="B444" s="26" t="n">
        <v>434</v>
      </c>
      <c r="C444" s="27" t="n">
        <f aca="false">'IR Calculator'!C14+(434-0.5)*('IR Calculator'!C15-'IR Calculator'!C14)/MIN('IR Calculator'!C16,500)</f>
        <v>9.734</v>
      </c>
      <c r="D444" s="28" t="n">
        <f aca="false">('IR Calculator'!C15-'IR Calculator'!C14)/MIN('IR Calculator'!C16,500)</f>
        <v>0.004</v>
      </c>
      <c r="E444" s="29" t="n">
        <f aca="false">(2*'IR Calculator'!$C$5*'IR Calculator'!$C$6^2/((('IR Calculator'!C14+(434-0.5)*('IR Calculator'!C15-'IR Calculator'!C14)/MIN('IR Calculator'!C16,500))*0.000001)^5))/(EXP(MIN('IR Calculator'!$C$5*'IR Calculator'!$C$6/((('IR Calculator'!C14+(434-0.5)*('IR Calculator'!C15-'IR Calculator'!C14)/MIN('IR Calculator'!C16,500))*0.000001)*'IR Calculator'!$C$7*'IR Calculator'!$C$19),700))-1)*0.000001</f>
        <v>42.7423785953426</v>
      </c>
    </row>
    <row r="445" customFormat="false" ht="12.75" hidden="false" customHeight="true" outlineLevel="0" collapsed="false">
      <c r="B445" s="22" t="n">
        <v>435</v>
      </c>
      <c r="C445" s="23" t="n">
        <f aca="false">'IR Calculator'!C14+(435-0.5)*('IR Calculator'!C15-'IR Calculator'!C14)/MIN('IR Calculator'!C16,500)</f>
        <v>9.738</v>
      </c>
      <c r="D445" s="24" t="n">
        <f aca="false">('IR Calculator'!C15-'IR Calculator'!C14)/MIN('IR Calculator'!C16,500)</f>
        <v>0.004</v>
      </c>
      <c r="E445" s="25" t="n">
        <f aca="false">(2*'IR Calculator'!$C$5*'IR Calculator'!$C$6^2/((('IR Calculator'!C14+(435-0.5)*('IR Calculator'!C15-'IR Calculator'!C14)/MIN('IR Calculator'!C16,500))*0.000001)^5))/(EXP(MIN('IR Calculator'!$C$5*'IR Calculator'!$C$6/((('IR Calculator'!C14+(435-0.5)*('IR Calculator'!C15-'IR Calculator'!C14)/MIN('IR Calculator'!C16,500))*0.000001)*'IR Calculator'!$C$7*'IR Calculator'!$C$19),700))-1)*0.000001</f>
        <v>42.7178353057668</v>
      </c>
    </row>
    <row r="446" customFormat="false" ht="12.75" hidden="false" customHeight="true" outlineLevel="0" collapsed="false">
      <c r="B446" s="26" t="n">
        <v>436</v>
      </c>
      <c r="C446" s="27" t="n">
        <f aca="false">'IR Calculator'!C14+(436-0.5)*('IR Calculator'!C15-'IR Calculator'!C14)/MIN('IR Calculator'!C16,500)</f>
        <v>9.742</v>
      </c>
      <c r="D446" s="28" t="n">
        <f aca="false">('IR Calculator'!C15-'IR Calculator'!C14)/MIN('IR Calculator'!C16,500)</f>
        <v>0.004</v>
      </c>
      <c r="E446" s="29" t="n">
        <f aca="false">(2*'IR Calculator'!$C$5*'IR Calculator'!$C$6^2/((('IR Calculator'!C14+(436-0.5)*('IR Calculator'!C15-'IR Calculator'!C14)/MIN('IR Calculator'!C16,500))*0.000001)^5))/(EXP(MIN('IR Calculator'!$C$5*'IR Calculator'!$C$6/((('IR Calculator'!C14+(436-0.5)*('IR Calculator'!C15-'IR Calculator'!C14)/MIN('IR Calculator'!C16,500))*0.000001)*'IR Calculator'!$C$7*'IR Calculator'!$C$19),700))-1)*0.000001</f>
        <v>42.693293087815</v>
      </c>
    </row>
    <row r="447" customFormat="false" ht="12.75" hidden="false" customHeight="true" outlineLevel="0" collapsed="false">
      <c r="B447" s="22" t="n">
        <v>437</v>
      </c>
      <c r="C447" s="23" t="n">
        <f aca="false">'IR Calculator'!C14+(437-0.5)*('IR Calculator'!C15-'IR Calculator'!C14)/MIN('IR Calculator'!C16,500)</f>
        <v>9.746</v>
      </c>
      <c r="D447" s="24" t="n">
        <f aca="false">('IR Calculator'!C15-'IR Calculator'!C14)/MIN('IR Calculator'!C16,500)</f>
        <v>0.004</v>
      </c>
      <c r="E447" s="25" t="n">
        <f aca="false">(2*'IR Calculator'!$C$5*'IR Calculator'!$C$6^2/((('IR Calculator'!C14+(437-0.5)*('IR Calculator'!C15-'IR Calculator'!C14)/MIN('IR Calculator'!C16,500))*0.000001)^5))/(EXP(MIN('IR Calculator'!$C$5*'IR Calculator'!$C$6/((('IR Calculator'!C14+(437-0.5)*('IR Calculator'!C15-'IR Calculator'!C14)/MIN('IR Calculator'!C16,500))*0.000001)*'IR Calculator'!$C$7*'IR Calculator'!$C$19),700))-1)*0.000001</f>
        <v>42.6687519874584</v>
      </c>
    </row>
    <row r="448" customFormat="false" ht="12.75" hidden="false" customHeight="true" outlineLevel="0" collapsed="false">
      <c r="B448" s="26" t="n">
        <v>438</v>
      </c>
      <c r="C448" s="27" t="n">
        <f aca="false">'IR Calculator'!C14+(438-0.5)*('IR Calculator'!C15-'IR Calculator'!C14)/MIN('IR Calculator'!C16,500)</f>
        <v>9.75</v>
      </c>
      <c r="D448" s="28" t="n">
        <f aca="false">('IR Calculator'!C15-'IR Calculator'!C14)/MIN('IR Calculator'!C16,500)</f>
        <v>0.004</v>
      </c>
      <c r="E448" s="29" t="n">
        <f aca="false">(2*'IR Calculator'!$C$5*'IR Calculator'!$C$6^2/((('IR Calculator'!C14+(438-0.5)*('IR Calculator'!C15-'IR Calculator'!C14)/MIN('IR Calculator'!C16,500))*0.000001)^5))/(EXP(MIN('IR Calculator'!$C$5*'IR Calculator'!$C$6/((('IR Calculator'!C14+(438-0.5)*('IR Calculator'!C15-'IR Calculator'!C14)/MIN('IR Calculator'!C16,500))*0.000001)*'IR Calculator'!$C$7*'IR Calculator'!$C$19),700))-1)*0.000001</f>
        <v>42.6442120505209</v>
      </c>
    </row>
    <row r="449" customFormat="false" ht="12.75" hidden="false" customHeight="true" outlineLevel="0" collapsed="false">
      <c r="B449" s="22" t="n">
        <v>439</v>
      </c>
      <c r="C449" s="23" t="n">
        <f aca="false">'IR Calculator'!C14+(439-0.5)*('IR Calculator'!C15-'IR Calculator'!C14)/MIN('IR Calculator'!C16,500)</f>
        <v>9.754</v>
      </c>
      <c r="D449" s="24" t="n">
        <f aca="false">('IR Calculator'!C15-'IR Calculator'!C14)/MIN('IR Calculator'!C16,500)</f>
        <v>0.004</v>
      </c>
      <c r="E449" s="25" t="n">
        <f aca="false">(2*'IR Calculator'!$C$5*'IR Calculator'!$C$6^2/((('IR Calculator'!C14+(439-0.5)*('IR Calculator'!C15-'IR Calculator'!C14)/MIN('IR Calculator'!C16,500))*0.000001)^5))/(EXP(MIN('IR Calculator'!$C$5*'IR Calculator'!$C$6/((('IR Calculator'!C14+(439-0.5)*('IR Calculator'!C15-'IR Calculator'!C14)/MIN('IR Calculator'!C16,500))*0.000001)*'IR Calculator'!$C$7*'IR Calculator'!$C$19),700))-1)*0.000001</f>
        <v>42.6196733226792</v>
      </c>
    </row>
    <row r="450" customFormat="false" ht="12.75" hidden="false" customHeight="true" outlineLevel="0" collapsed="false">
      <c r="B450" s="26" t="n">
        <v>440</v>
      </c>
      <c r="C450" s="27" t="n">
        <f aca="false">'IR Calculator'!C14+(440-0.5)*('IR Calculator'!C15-'IR Calculator'!C14)/MIN('IR Calculator'!C16,500)</f>
        <v>9.758</v>
      </c>
      <c r="D450" s="28" t="n">
        <f aca="false">('IR Calculator'!C15-'IR Calculator'!C14)/MIN('IR Calculator'!C16,500)</f>
        <v>0.004</v>
      </c>
      <c r="E450" s="29" t="n">
        <f aca="false">(2*'IR Calculator'!$C$5*'IR Calculator'!$C$6^2/((('IR Calculator'!C14+(440-0.5)*('IR Calculator'!C15-'IR Calculator'!C14)/MIN('IR Calculator'!C16,500))*0.000001)^5))/(EXP(MIN('IR Calculator'!$C$5*'IR Calculator'!$C$6/((('IR Calculator'!C14+(440-0.5)*('IR Calculator'!C15-'IR Calculator'!C14)/MIN('IR Calculator'!C16,500))*0.000001)*'IR Calculator'!$C$7*'IR Calculator'!$C$19),700))-1)*0.000001</f>
        <v>42.5951358494634</v>
      </c>
    </row>
    <row r="451" customFormat="false" ht="12.75" hidden="false" customHeight="true" outlineLevel="0" collapsed="false">
      <c r="B451" s="22" t="n">
        <v>441</v>
      </c>
      <c r="C451" s="23" t="n">
        <f aca="false">'IR Calculator'!C14+(441-0.5)*('IR Calculator'!C15-'IR Calculator'!C14)/MIN('IR Calculator'!C16,500)</f>
        <v>9.762</v>
      </c>
      <c r="D451" s="24" t="n">
        <f aca="false">('IR Calculator'!C15-'IR Calculator'!C14)/MIN('IR Calculator'!C16,500)</f>
        <v>0.004</v>
      </c>
      <c r="E451" s="25" t="n">
        <f aca="false">(2*'IR Calculator'!$C$5*'IR Calculator'!$C$6^2/((('IR Calculator'!C14+(441-0.5)*('IR Calculator'!C15-'IR Calculator'!C14)/MIN('IR Calculator'!C16,500))*0.000001)^5))/(EXP(MIN('IR Calculator'!$C$5*'IR Calculator'!$C$6/((('IR Calculator'!C14+(441-0.5)*('IR Calculator'!C15-'IR Calculator'!C14)/MIN('IR Calculator'!C16,500))*0.000001)*'IR Calculator'!$C$7*'IR Calculator'!$C$19),700))-1)*0.000001</f>
        <v>42.5705996762568</v>
      </c>
    </row>
    <row r="452" customFormat="false" ht="12.75" hidden="false" customHeight="true" outlineLevel="0" collapsed="false">
      <c r="B452" s="26" t="n">
        <v>442</v>
      </c>
      <c r="C452" s="27" t="n">
        <f aca="false">'IR Calculator'!C14+(442-0.5)*('IR Calculator'!C15-'IR Calculator'!C14)/MIN('IR Calculator'!C16,500)</f>
        <v>9.766</v>
      </c>
      <c r="D452" s="28" t="n">
        <f aca="false">('IR Calculator'!C15-'IR Calculator'!C14)/MIN('IR Calculator'!C16,500)</f>
        <v>0.004</v>
      </c>
      <c r="E452" s="29" t="n">
        <f aca="false">(2*'IR Calculator'!$C$5*'IR Calculator'!$C$6^2/((('IR Calculator'!C14+(442-0.5)*('IR Calculator'!C15-'IR Calculator'!C14)/MIN('IR Calculator'!C16,500))*0.000001)^5))/(EXP(MIN('IR Calculator'!$C$5*'IR Calculator'!$C$6/((('IR Calculator'!C14+(442-0.5)*('IR Calculator'!C15-'IR Calculator'!C14)/MIN('IR Calculator'!C16,500))*0.000001)*'IR Calculator'!$C$7*'IR Calculator'!$C$19),700))-1)*0.000001</f>
        <v>42.5460648482971</v>
      </c>
    </row>
    <row r="453" customFormat="false" ht="12.75" hidden="false" customHeight="true" outlineLevel="0" collapsed="false">
      <c r="B453" s="22" t="n">
        <v>443</v>
      </c>
      <c r="C453" s="23" t="n">
        <f aca="false">'IR Calculator'!C14+(443-0.5)*('IR Calculator'!C15-'IR Calculator'!C14)/MIN('IR Calculator'!C16,500)</f>
        <v>9.77</v>
      </c>
      <c r="D453" s="24" t="n">
        <f aca="false">('IR Calculator'!C15-'IR Calculator'!C14)/MIN('IR Calculator'!C16,500)</f>
        <v>0.004</v>
      </c>
      <c r="E453" s="25" t="n">
        <f aca="false">(2*'IR Calculator'!$C$5*'IR Calculator'!$C$6^2/((('IR Calculator'!C14+(443-0.5)*('IR Calculator'!C15-'IR Calculator'!C14)/MIN('IR Calculator'!C16,500))*0.000001)^5))/(EXP(MIN('IR Calculator'!$C$5*'IR Calculator'!$C$6/((('IR Calculator'!C14+(443-0.5)*('IR Calculator'!C15-'IR Calculator'!C14)/MIN('IR Calculator'!C16,500))*0.000001)*'IR Calculator'!$C$7*'IR Calculator'!$C$19),700))-1)*0.000001</f>
        <v>42.5215314106756</v>
      </c>
    </row>
    <row r="454" customFormat="false" ht="12.75" hidden="false" customHeight="true" outlineLevel="0" collapsed="false">
      <c r="B454" s="26" t="n">
        <v>444</v>
      </c>
      <c r="C454" s="27" t="n">
        <f aca="false">'IR Calculator'!C14+(444-0.5)*('IR Calculator'!C15-'IR Calculator'!C14)/MIN('IR Calculator'!C16,500)</f>
        <v>9.774</v>
      </c>
      <c r="D454" s="28" t="n">
        <f aca="false">('IR Calculator'!C15-'IR Calculator'!C14)/MIN('IR Calculator'!C16,500)</f>
        <v>0.004</v>
      </c>
      <c r="E454" s="29" t="n">
        <f aca="false">(2*'IR Calculator'!$C$5*'IR Calculator'!$C$6^2/((('IR Calculator'!C14+(444-0.5)*('IR Calculator'!C15-'IR Calculator'!C14)/MIN('IR Calculator'!C16,500))*0.000001)^5))/(EXP(MIN('IR Calculator'!$C$5*'IR Calculator'!$C$6/((('IR Calculator'!C14+(444-0.5)*('IR Calculator'!C15-'IR Calculator'!C14)/MIN('IR Calculator'!C16,500))*0.000001)*'IR Calculator'!$C$7*'IR Calculator'!$C$19),700))-1)*0.000001</f>
        <v>42.4969994083388</v>
      </c>
    </row>
    <row r="455" customFormat="false" ht="12.75" hidden="false" customHeight="true" outlineLevel="0" collapsed="false">
      <c r="B455" s="22" t="n">
        <v>445</v>
      </c>
      <c r="C455" s="23" t="n">
        <f aca="false">'IR Calculator'!C14+(445-0.5)*('IR Calculator'!C15-'IR Calculator'!C14)/MIN('IR Calculator'!C16,500)</f>
        <v>9.778</v>
      </c>
      <c r="D455" s="24" t="n">
        <f aca="false">('IR Calculator'!C15-'IR Calculator'!C14)/MIN('IR Calculator'!C16,500)</f>
        <v>0.004</v>
      </c>
      <c r="E455" s="25" t="n">
        <f aca="false">(2*'IR Calculator'!$C$5*'IR Calculator'!$C$6^2/((('IR Calculator'!C14+(445-0.5)*('IR Calculator'!C15-'IR Calculator'!C14)/MIN('IR Calculator'!C16,500))*0.000001)^5))/(EXP(MIN('IR Calculator'!$C$5*'IR Calculator'!$C$6/((('IR Calculator'!C14+(445-0.5)*('IR Calculator'!C15-'IR Calculator'!C14)/MIN('IR Calculator'!C16,500))*0.000001)*'IR Calculator'!$C$7*'IR Calculator'!$C$19),700))-1)*0.000001</f>
        <v>42.4724688860876</v>
      </c>
    </row>
    <row r="456" customFormat="false" ht="12.75" hidden="false" customHeight="true" outlineLevel="0" collapsed="false">
      <c r="B456" s="26" t="n">
        <v>446</v>
      </c>
      <c r="C456" s="27" t="n">
        <f aca="false">'IR Calculator'!C14+(446-0.5)*('IR Calculator'!C15-'IR Calculator'!C14)/MIN('IR Calculator'!C16,500)</f>
        <v>9.782</v>
      </c>
      <c r="D456" s="28" t="n">
        <f aca="false">('IR Calculator'!C15-'IR Calculator'!C14)/MIN('IR Calculator'!C16,500)</f>
        <v>0.004</v>
      </c>
      <c r="E456" s="29" t="n">
        <f aca="false">(2*'IR Calculator'!$C$5*'IR Calculator'!$C$6^2/((('IR Calculator'!C14+(446-0.5)*('IR Calculator'!C15-'IR Calculator'!C14)/MIN('IR Calculator'!C16,500))*0.000001)^5))/(EXP(MIN('IR Calculator'!$C$5*'IR Calculator'!$C$6/((('IR Calculator'!C14+(446-0.5)*('IR Calculator'!C15-'IR Calculator'!C14)/MIN('IR Calculator'!C16,500))*0.000001)*'IR Calculator'!$C$7*'IR Calculator'!$C$19),700))-1)*0.000001</f>
        <v>42.4479398885782</v>
      </c>
    </row>
    <row r="457" customFormat="false" ht="12.75" hidden="false" customHeight="true" outlineLevel="0" collapsed="false">
      <c r="B457" s="22" t="n">
        <v>447</v>
      </c>
      <c r="C457" s="23" t="n">
        <f aca="false">'IR Calculator'!C14+(447-0.5)*('IR Calculator'!C15-'IR Calculator'!C14)/MIN('IR Calculator'!C16,500)</f>
        <v>9.786</v>
      </c>
      <c r="D457" s="24" t="n">
        <f aca="false">('IR Calculator'!C15-'IR Calculator'!C14)/MIN('IR Calculator'!C16,500)</f>
        <v>0.004</v>
      </c>
      <c r="E457" s="25" t="n">
        <f aca="false">(2*'IR Calculator'!$C$5*'IR Calculator'!$C$6^2/((('IR Calculator'!C14+(447-0.5)*('IR Calculator'!C15-'IR Calculator'!C14)/MIN('IR Calculator'!C16,500))*0.000001)^5))/(EXP(MIN('IR Calculator'!$C$5*'IR Calculator'!$C$6/((('IR Calculator'!C14+(447-0.5)*('IR Calculator'!C15-'IR Calculator'!C14)/MIN('IR Calculator'!C16,500))*0.000001)*'IR Calculator'!$C$7*'IR Calculator'!$C$19),700))-1)*0.000001</f>
        <v>42.4234124603226</v>
      </c>
    </row>
    <row r="458" customFormat="false" ht="12.75" hidden="false" customHeight="true" outlineLevel="0" collapsed="false">
      <c r="B458" s="26" t="n">
        <v>448</v>
      </c>
      <c r="C458" s="27" t="n">
        <f aca="false">'IR Calculator'!C14+(448-0.5)*('IR Calculator'!C15-'IR Calculator'!C14)/MIN('IR Calculator'!C16,500)</f>
        <v>9.79</v>
      </c>
      <c r="D458" s="28" t="n">
        <f aca="false">('IR Calculator'!C15-'IR Calculator'!C14)/MIN('IR Calculator'!C16,500)</f>
        <v>0.004</v>
      </c>
      <c r="E458" s="29" t="n">
        <f aca="false">(2*'IR Calculator'!$C$5*'IR Calculator'!$C$6^2/((('IR Calculator'!C14+(448-0.5)*('IR Calculator'!C15-'IR Calculator'!C14)/MIN('IR Calculator'!C16,500))*0.000001)^5))/(EXP(MIN('IR Calculator'!$C$5*'IR Calculator'!$C$6/((('IR Calculator'!C14+(448-0.5)*('IR Calculator'!C15-'IR Calculator'!C14)/MIN('IR Calculator'!C16,500))*0.000001)*'IR Calculator'!$C$7*'IR Calculator'!$C$19),700))-1)*0.000001</f>
        <v>42.3988866456885</v>
      </c>
    </row>
    <row r="459" customFormat="false" ht="12.75" hidden="false" customHeight="true" outlineLevel="0" collapsed="false">
      <c r="B459" s="22" t="n">
        <v>449</v>
      </c>
      <c r="C459" s="23" t="n">
        <f aca="false">'IR Calculator'!C14+(449-0.5)*('IR Calculator'!C15-'IR Calculator'!C14)/MIN('IR Calculator'!C16,500)</f>
        <v>9.794</v>
      </c>
      <c r="D459" s="24" t="n">
        <f aca="false">('IR Calculator'!C15-'IR Calculator'!C14)/MIN('IR Calculator'!C16,500)</f>
        <v>0.004</v>
      </c>
      <c r="E459" s="25" t="n">
        <f aca="false">(2*'IR Calculator'!$C$5*'IR Calculator'!$C$6^2/((('IR Calculator'!C14+(449-0.5)*('IR Calculator'!C15-'IR Calculator'!C14)/MIN('IR Calculator'!C16,500))*0.000001)^5))/(EXP(MIN('IR Calculator'!$C$5*'IR Calculator'!$C$6/((('IR Calculator'!C14+(449-0.5)*('IR Calculator'!C15-'IR Calculator'!C14)/MIN('IR Calculator'!C16,500))*0.000001)*'IR Calculator'!$C$7*'IR Calculator'!$C$19),700))-1)*0.000001</f>
        <v>42.3743624888998</v>
      </c>
    </row>
    <row r="460" customFormat="false" ht="12.75" hidden="false" customHeight="true" outlineLevel="0" collapsed="false">
      <c r="B460" s="26" t="n">
        <v>450</v>
      </c>
      <c r="C460" s="27" t="n">
        <f aca="false">'IR Calculator'!C14+(450-0.5)*('IR Calculator'!C15-'IR Calculator'!C14)/MIN('IR Calculator'!C16,500)</f>
        <v>9.798</v>
      </c>
      <c r="D460" s="28" t="n">
        <f aca="false">('IR Calculator'!C15-'IR Calculator'!C14)/MIN('IR Calculator'!C16,500)</f>
        <v>0.004</v>
      </c>
      <c r="E460" s="29" t="n">
        <f aca="false">(2*'IR Calculator'!$C$5*'IR Calculator'!$C$6^2/((('IR Calculator'!C14+(450-0.5)*('IR Calculator'!C15-'IR Calculator'!C14)/MIN('IR Calculator'!C16,500))*0.000001)^5))/(EXP(MIN('IR Calculator'!$C$5*'IR Calculator'!$C$6/((('IR Calculator'!C14+(450-0.5)*('IR Calculator'!C15-'IR Calculator'!C14)/MIN('IR Calculator'!C16,500))*0.000001)*'IR Calculator'!$C$7*'IR Calculator'!$C$19),700))-1)*0.000001</f>
        <v>42.349840034037</v>
      </c>
    </row>
    <row r="461" customFormat="false" ht="12.75" hidden="false" customHeight="true" outlineLevel="0" collapsed="false">
      <c r="B461" s="22" t="n">
        <v>451</v>
      </c>
      <c r="C461" s="23" t="n">
        <f aca="false">'IR Calculator'!C14+(451-0.5)*('IR Calculator'!C15-'IR Calculator'!C14)/MIN('IR Calculator'!C16,500)</f>
        <v>9.802</v>
      </c>
      <c r="D461" s="24" t="n">
        <f aca="false">('IR Calculator'!C15-'IR Calculator'!C14)/MIN('IR Calculator'!C16,500)</f>
        <v>0.004</v>
      </c>
      <c r="E461" s="25" t="n">
        <f aca="false">(2*'IR Calculator'!$C$5*'IR Calculator'!$C$6^2/((('IR Calculator'!C14+(451-0.5)*('IR Calculator'!C15-'IR Calculator'!C14)/MIN('IR Calculator'!C16,500))*0.000001)^5))/(EXP(MIN('IR Calculator'!$C$5*'IR Calculator'!$C$6/((('IR Calculator'!C14+(451-0.5)*('IR Calculator'!C15-'IR Calculator'!C14)/MIN('IR Calculator'!C16,500))*0.000001)*'IR Calculator'!$C$7*'IR Calculator'!$C$19),700))-1)*0.000001</f>
        <v>42.3253193250374</v>
      </c>
    </row>
    <row r="462" customFormat="false" ht="12.75" hidden="false" customHeight="true" outlineLevel="0" collapsed="false">
      <c r="B462" s="26" t="n">
        <v>452</v>
      </c>
      <c r="C462" s="27" t="n">
        <f aca="false">'IR Calculator'!C14+(452-0.5)*('IR Calculator'!C15-'IR Calculator'!C14)/MIN('IR Calculator'!C16,500)</f>
        <v>9.806</v>
      </c>
      <c r="D462" s="28" t="n">
        <f aca="false">('IR Calculator'!C15-'IR Calculator'!C14)/MIN('IR Calculator'!C16,500)</f>
        <v>0.004</v>
      </c>
      <c r="E462" s="29" t="n">
        <f aca="false">(2*'IR Calculator'!$C$5*'IR Calculator'!$C$6^2/((('IR Calculator'!C14+(452-0.5)*('IR Calculator'!C15-'IR Calculator'!C14)/MIN('IR Calculator'!C16,500))*0.000001)^5))/(EXP(MIN('IR Calculator'!$C$5*'IR Calculator'!$C$6/((('IR Calculator'!C14+(452-0.5)*('IR Calculator'!C15-'IR Calculator'!C14)/MIN('IR Calculator'!C16,500))*0.000001)*'IR Calculator'!$C$7*'IR Calculator'!$C$19),700))-1)*0.000001</f>
        <v>42.3008004056955</v>
      </c>
    </row>
    <row r="463" customFormat="false" ht="12.75" hidden="false" customHeight="true" outlineLevel="0" collapsed="false">
      <c r="B463" s="22" t="n">
        <v>453</v>
      </c>
      <c r="C463" s="23" t="n">
        <f aca="false">'IR Calculator'!C14+(453-0.5)*('IR Calculator'!C15-'IR Calculator'!C14)/MIN('IR Calculator'!C16,500)</f>
        <v>9.81</v>
      </c>
      <c r="D463" s="24" t="n">
        <f aca="false">('IR Calculator'!C15-'IR Calculator'!C14)/MIN('IR Calculator'!C16,500)</f>
        <v>0.004</v>
      </c>
      <c r="E463" s="25" t="n">
        <f aca="false">(2*'IR Calculator'!$C$5*'IR Calculator'!$C$6^2/((('IR Calculator'!C14+(453-0.5)*('IR Calculator'!C15-'IR Calculator'!C14)/MIN('IR Calculator'!C16,500))*0.000001)^5))/(EXP(MIN('IR Calculator'!$C$5*'IR Calculator'!$C$6/((('IR Calculator'!C14+(453-0.5)*('IR Calculator'!C15-'IR Calculator'!C14)/MIN('IR Calculator'!C16,500))*0.000001)*'IR Calculator'!$C$7*'IR Calculator'!$C$19),700))-1)*0.000001</f>
        <v>42.2762833196635</v>
      </c>
    </row>
    <row r="464" customFormat="false" ht="12.75" hidden="false" customHeight="true" outlineLevel="0" collapsed="false">
      <c r="B464" s="26" t="n">
        <v>454</v>
      </c>
      <c r="C464" s="27" t="n">
        <f aca="false">'IR Calculator'!C14+(454-0.5)*('IR Calculator'!C15-'IR Calculator'!C14)/MIN('IR Calculator'!C16,500)</f>
        <v>9.814</v>
      </c>
      <c r="D464" s="28" t="n">
        <f aca="false">('IR Calculator'!C15-'IR Calculator'!C14)/MIN('IR Calculator'!C16,500)</f>
        <v>0.004</v>
      </c>
      <c r="E464" s="29" t="n">
        <f aca="false">(2*'IR Calculator'!$C$5*'IR Calculator'!$C$6^2/((('IR Calculator'!C14+(454-0.5)*('IR Calculator'!C15-'IR Calculator'!C14)/MIN('IR Calculator'!C16,500))*0.000001)^5))/(EXP(MIN('IR Calculator'!$C$5*'IR Calculator'!$C$6/((('IR Calculator'!C14+(454-0.5)*('IR Calculator'!C15-'IR Calculator'!C14)/MIN('IR Calculator'!C16,500))*0.000001)*'IR Calculator'!$C$7*'IR Calculator'!$C$19),700))-1)*0.000001</f>
        <v>42.2517681104512</v>
      </c>
    </row>
    <row r="465" customFormat="false" ht="12.75" hidden="false" customHeight="true" outlineLevel="0" collapsed="false">
      <c r="B465" s="22" t="n">
        <v>455</v>
      </c>
      <c r="C465" s="23" t="n">
        <f aca="false">'IR Calculator'!C14+(455-0.5)*('IR Calculator'!C15-'IR Calculator'!C14)/MIN('IR Calculator'!C16,500)</f>
        <v>9.818</v>
      </c>
      <c r="D465" s="24" t="n">
        <f aca="false">('IR Calculator'!C15-'IR Calculator'!C14)/MIN('IR Calculator'!C16,500)</f>
        <v>0.004</v>
      </c>
      <c r="E465" s="25" t="n">
        <f aca="false">(2*'IR Calculator'!$C$5*'IR Calculator'!$C$6^2/((('IR Calculator'!C14+(455-0.5)*('IR Calculator'!C15-'IR Calculator'!C14)/MIN('IR Calculator'!C16,500))*0.000001)^5))/(EXP(MIN('IR Calculator'!$C$5*'IR Calculator'!$C$6/((('IR Calculator'!C14+(455-0.5)*('IR Calculator'!C15-'IR Calculator'!C14)/MIN('IR Calculator'!C16,500))*0.000001)*'IR Calculator'!$C$7*'IR Calculator'!$C$19),700))-1)*0.000001</f>
        <v>42.2272548214268</v>
      </c>
    </row>
    <row r="466" customFormat="false" ht="12.75" hidden="false" customHeight="true" outlineLevel="0" collapsed="false">
      <c r="B466" s="26" t="n">
        <v>456</v>
      </c>
      <c r="C466" s="27" t="n">
        <f aca="false">'IR Calculator'!C14+(456-0.5)*('IR Calculator'!C15-'IR Calculator'!C14)/MIN('IR Calculator'!C16,500)</f>
        <v>9.822</v>
      </c>
      <c r="D466" s="28" t="n">
        <f aca="false">('IR Calculator'!C15-'IR Calculator'!C14)/MIN('IR Calculator'!C16,500)</f>
        <v>0.004</v>
      </c>
      <c r="E466" s="29" t="n">
        <f aca="false">(2*'IR Calculator'!$C$5*'IR Calculator'!$C$6^2/((('IR Calculator'!C14+(456-0.5)*('IR Calculator'!C15-'IR Calculator'!C14)/MIN('IR Calculator'!C16,500))*0.000001)^5))/(EXP(MIN('IR Calculator'!$C$5*'IR Calculator'!$C$6/((('IR Calculator'!C14+(456-0.5)*('IR Calculator'!C15-'IR Calculator'!C14)/MIN('IR Calculator'!C16,500))*0.000001)*'IR Calculator'!$C$7*'IR Calculator'!$C$19),700))-1)*0.000001</f>
        <v>42.2027434958169</v>
      </c>
    </row>
    <row r="467" customFormat="false" ht="12.75" hidden="false" customHeight="true" outlineLevel="0" collapsed="false">
      <c r="B467" s="22" t="n">
        <v>457</v>
      </c>
      <c r="C467" s="23" t="n">
        <f aca="false">'IR Calculator'!C14+(457-0.5)*('IR Calculator'!C15-'IR Calculator'!C14)/MIN('IR Calculator'!C16,500)</f>
        <v>9.826</v>
      </c>
      <c r="D467" s="24" t="n">
        <f aca="false">('IR Calculator'!C15-'IR Calculator'!C14)/MIN('IR Calculator'!C16,500)</f>
        <v>0.004</v>
      </c>
      <c r="E467" s="25" t="n">
        <f aca="false">(2*'IR Calculator'!$C$5*'IR Calculator'!$C$6^2/((('IR Calculator'!C14+(457-0.5)*('IR Calculator'!C15-'IR Calculator'!C14)/MIN('IR Calculator'!C16,500))*0.000001)^5))/(EXP(MIN('IR Calculator'!$C$5*'IR Calculator'!$C$6/((('IR Calculator'!C14+(457-0.5)*('IR Calculator'!C15-'IR Calculator'!C14)/MIN('IR Calculator'!C16,500))*0.000001)*'IR Calculator'!$C$7*'IR Calculator'!$C$19),700))-1)*0.000001</f>
        <v>42.1782341767069</v>
      </c>
    </row>
    <row r="468" customFormat="false" ht="12.75" hidden="false" customHeight="true" outlineLevel="0" collapsed="false">
      <c r="B468" s="26" t="n">
        <v>458</v>
      </c>
      <c r="C468" s="27" t="n">
        <f aca="false">'IR Calculator'!C14+(458-0.5)*('IR Calculator'!C15-'IR Calculator'!C14)/MIN('IR Calculator'!C16,500)</f>
        <v>9.83</v>
      </c>
      <c r="D468" s="28" t="n">
        <f aca="false">('IR Calculator'!C15-'IR Calculator'!C14)/MIN('IR Calculator'!C16,500)</f>
        <v>0.004</v>
      </c>
      <c r="E468" s="29" t="n">
        <f aca="false">(2*'IR Calculator'!$C$5*'IR Calculator'!$C$6^2/((('IR Calculator'!C14+(458-0.5)*('IR Calculator'!C15-'IR Calculator'!C14)/MIN('IR Calculator'!C16,500))*0.000001)^5))/(EXP(MIN('IR Calculator'!$C$5*'IR Calculator'!$C$6/((('IR Calculator'!C14+(458-0.5)*('IR Calculator'!C15-'IR Calculator'!C14)/MIN('IR Calculator'!C16,500))*0.000001)*'IR Calculator'!$C$7*'IR Calculator'!$C$19),700))-1)*0.000001</f>
        <v>42.1537269070415</v>
      </c>
    </row>
    <row r="469" customFormat="false" ht="12.75" hidden="false" customHeight="true" outlineLevel="0" collapsed="false">
      <c r="B469" s="22" t="n">
        <v>459</v>
      </c>
      <c r="C469" s="23" t="n">
        <f aca="false">'IR Calculator'!C14+(459-0.5)*('IR Calculator'!C15-'IR Calculator'!C14)/MIN('IR Calculator'!C16,500)</f>
        <v>9.834</v>
      </c>
      <c r="D469" s="24" t="n">
        <f aca="false">('IR Calculator'!C15-'IR Calculator'!C14)/MIN('IR Calculator'!C16,500)</f>
        <v>0.004</v>
      </c>
      <c r="E469" s="25" t="n">
        <f aca="false">(2*'IR Calculator'!$C$5*'IR Calculator'!$C$6^2/((('IR Calculator'!C14+(459-0.5)*('IR Calculator'!C15-'IR Calculator'!C14)/MIN('IR Calculator'!C16,500))*0.000001)^5))/(EXP(MIN('IR Calculator'!$C$5*'IR Calculator'!$C$6/((('IR Calculator'!C14+(459-0.5)*('IR Calculator'!C15-'IR Calculator'!C14)/MIN('IR Calculator'!C16,500))*0.000001)*'IR Calculator'!$C$7*'IR Calculator'!$C$19),700))-1)*0.000001</f>
        <v>42.1292217296248</v>
      </c>
    </row>
    <row r="470" customFormat="false" ht="12.75" hidden="false" customHeight="true" outlineLevel="0" collapsed="false">
      <c r="B470" s="26" t="n">
        <v>460</v>
      </c>
      <c r="C470" s="27" t="n">
        <f aca="false">'IR Calculator'!C14+(460-0.5)*('IR Calculator'!C15-'IR Calculator'!C14)/MIN('IR Calculator'!C16,500)</f>
        <v>9.838</v>
      </c>
      <c r="D470" s="28" t="n">
        <f aca="false">('IR Calculator'!C15-'IR Calculator'!C14)/MIN('IR Calculator'!C16,500)</f>
        <v>0.004</v>
      </c>
      <c r="E470" s="29" t="n">
        <f aca="false">(2*'IR Calculator'!$C$5*'IR Calculator'!$C$6^2/((('IR Calculator'!C14+(460-0.5)*('IR Calculator'!C15-'IR Calculator'!C14)/MIN('IR Calculator'!C16,500))*0.000001)^5))/(EXP(MIN('IR Calculator'!$C$5*'IR Calculator'!$C$6/((('IR Calculator'!C14+(460-0.5)*('IR Calculator'!C15-'IR Calculator'!C14)/MIN('IR Calculator'!C16,500))*0.000001)*'IR Calculator'!$C$7*'IR Calculator'!$C$19),700))-1)*0.000001</f>
        <v>42.1047186871206</v>
      </c>
    </row>
    <row r="471" customFormat="false" ht="12.75" hidden="false" customHeight="true" outlineLevel="0" collapsed="false">
      <c r="B471" s="22" t="n">
        <v>461</v>
      </c>
      <c r="C471" s="23" t="n">
        <f aca="false">'IR Calculator'!C14+(461-0.5)*('IR Calculator'!C15-'IR Calculator'!C14)/MIN('IR Calculator'!C16,500)</f>
        <v>9.842</v>
      </c>
      <c r="D471" s="24" t="n">
        <f aca="false">('IR Calculator'!C15-'IR Calculator'!C14)/MIN('IR Calculator'!C16,500)</f>
        <v>0.004</v>
      </c>
      <c r="E471" s="25" t="n">
        <f aca="false">(2*'IR Calculator'!$C$5*'IR Calculator'!$C$6^2/((('IR Calculator'!C14+(461-0.5)*('IR Calculator'!C15-'IR Calculator'!C14)/MIN('IR Calculator'!C16,500))*0.000001)^5))/(EXP(MIN('IR Calculator'!$C$5*'IR Calculator'!$C$6/((('IR Calculator'!C14+(461-0.5)*('IR Calculator'!C15-'IR Calculator'!C14)/MIN('IR Calculator'!C16,500))*0.000001)*'IR Calculator'!$C$7*'IR Calculator'!$C$19),700))-1)*0.000001</f>
        <v>42.0802178220532</v>
      </c>
    </row>
    <row r="472" customFormat="false" ht="12.75" hidden="false" customHeight="true" outlineLevel="0" collapsed="false">
      <c r="B472" s="26" t="n">
        <v>462</v>
      </c>
      <c r="C472" s="27" t="n">
        <f aca="false">'IR Calculator'!C14+(462-0.5)*('IR Calculator'!C15-'IR Calculator'!C14)/MIN('IR Calculator'!C16,500)</f>
        <v>9.846</v>
      </c>
      <c r="D472" s="28" t="n">
        <f aca="false">('IR Calculator'!C15-'IR Calculator'!C14)/MIN('IR Calculator'!C16,500)</f>
        <v>0.004</v>
      </c>
      <c r="E472" s="29" t="n">
        <f aca="false">(2*'IR Calculator'!$C$5*'IR Calculator'!$C$6^2/((('IR Calculator'!C14+(462-0.5)*('IR Calculator'!C15-'IR Calculator'!C14)/MIN('IR Calculator'!C16,500))*0.000001)^5))/(EXP(MIN('IR Calculator'!$C$5*'IR Calculator'!$C$6/((('IR Calculator'!C14+(462-0.5)*('IR Calculator'!C15-'IR Calculator'!C14)/MIN('IR Calculator'!C16,500))*0.000001)*'IR Calculator'!$C$7*'IR Calculator'!$C$19),700))-1)*0.000001</f>
        <v>42.0557191768069</v>
      </c>
    </row>
    <row r="473" customFormat="false" ht="12.75" hidden="false" customHeight="true" outlineLevel="0" collapsed="false">
      <c r="B473" s="22" t="n">
        <v>463</v>
      </c>
      <c r="C473" s="23" t="n">
        <f aca="false">'IR Calculator'!C14+(463-0.5)*('IR Calculator'!C15-'IR Calculator'!C14)/MIN('IR Calculator'!C16,500)</f>
        <v>9.85</v>
      </c>
      <c r="D473" s="24" t="n">
        <f aca="false">('IR Calculator'!C15-'IR Calculator'!C14)/MIN('IR Calculator'!C16,500)</f>
        <v>0.004</v>
      </c>
      <c r="E473" s="25" t="n">
        <f aca="false">(2*'IR Calculator'!$C$5*'IR Calculator'!$C$6^2/((('IR Calculator'!C14+(463-0.5)*('IR Calculator'!C15-'IR Calculator'!C14)/MIN('IR Calculator'!C16,500))*0.000001)^5))/(EXP(MIN('IR Calculator'!$C$5*'IR Calculator'!$C$6/((('IR Calculator'!C14+(463-0.5)*('IR Calculator'!C15-'IR Calculator'!C14)/MIN('IR Calculator'!C16,500))*0.000001)*'IR Calculator'!$C$7*'IR Calculator'!$C$19),700))-1)*0.000001</f>
        <v>42.0312227936272</v>
      </c>
    </row>
    <row r="474" customFormat="false" ht="12.75" hidden="false" customHeight="true" outlineLevel="0" collapsed="false">
      <c r="B474" s="26" t="n">
        <v>464</v>
      </c>
      <c r="C474" s="27" t="n">
        <f aca="false">'IR Calculator'!C14+(464-0.5)*('IR Calculator'!C15-'IR Calculator'!C14)/MIN('IR Calculator'!C16,500)</f>
        <v>9.854</v>
      </c>
      <c r="D474" s="28" t="n">
        <f aca="false">('IR Calculator'!C15-'IR Calculator'!C14)/MIN('IR Calculator'!C16,500)</f>
        <v>0.004</v>
      </c>
      <c r="E474" s="29" t="n">
        <f aca="false">(2*'IR Calculator'!$C$5*'IR Calculator'!$C$6^2/((('IR Calculator'!C14+(464-0.5)*('IR Calculator'!C15-'IR Calculator'!C14)/MIN('IR Calculator'!C16,500))*0.000001)^5))/(EXP(MIN('IR Calculator'!$C$5*'IR Calculator'!$C$6/((('IR Calculator'!C14+(464-0.5)*('IR Calculator'!C15-'IR Calculator'!C14)/MIN('IR Calculator'!C16,500))*0.000001)*'IR Calculator'!$C$7*'IR Calculator'!$C$19),700))-1)*0.000001</f>
        <v>42.0067287146203</v>
      </c>
    </row>
    <row r="475" customFormat="false" ht="12.75" hidden="false" customHeight="true" outlineLevel="0" collapsed="false">
      <c r="B475" s="22" t="n">
        <v>465</v>
      </c>
      <c r="C475" s="23" t="n">
        <f aca="false">'IR Calculator'!C14+(465-0.5)*('IR Calculator'!C15-'IR Calculator'!C14)/MIN('IR Calculator'!C16,500)</f>
        <v>9.858</v>
      </c>
      <c r="D475" s="24" t="n">
        <f aca="false">('IR Calculator'!C15-'IR Calculator'!C14)/MIN('IR Calculator'!C16,500)</f>
        <v>0.004</v>
      </c>
      <c r="E475" s="25" t="n">
        <f aca="false">(2*'IR Calculator'!$C$5*'IR Calculator'!$C$6^2/((('IR Calculator'!C14+(465-0.5)*('IR Calculator'!C15-'IR Calculator'!C14)/MIN('IR Calculator'!C16,500))*0.000001)^5))/(EXP(MIN('IR Calculator'!$C$5*'IR Calculator'!$C$6/((('IR Calculator'!C14+(465-0.5)*('IR Calculator'!C15-'IR Calculator'!C14)/MIN('IR Calculator'!C16,500))*0.000001)*'IR Calculator'!$C$7*'IR Calculator'!$C$19),700))-1)*0.000001</f>
        <v>41.9822369817543</v>
      </c>
    </row>
    <row r="476" customFormat="false" ht="12.75" hidden="false" customHeight="true" outlineLevel="0" collapsed="false">
      <c r="B476" s="26" t="n">
        <v>466</v>
      </c>
      <c r="C476" s="27" t="n">
        <f aca="false">'IR Calculator'!C14+(466-0.5)*('IR Calculator'!C15-'IR Calculator'!C14)/MIN('IR Calculator'!C16,500)</f>
        <v>9.862</v>
      </c>
      <c r="D476" s="28" t="n">
        <f aca="false">('IR Calculator'!C15-'IR Calculator'!C14)/MIN('IR Calculator'!C16,500)</f>
        <v>0.004</v>
      </c>
      <c r="E476" s="29" t="n">
        <f aca="false">(2*'IR Calculator'!$C$5*'IR Calculator'!$C$6^2/((('IR Calculator'!C14+(466-0.5)*('IR Calculator'!C15-'IR Calculator'!C14)/MIN('IR Calculator'!C16,500))*0.000001)^5))/(EXP(MIN('IR Calculator'!$C$5*'IR Calculator'!$C$6/((('IR Calculator'!C14+(466-0.5)*('IR Calculator'!C15-'IR Calculator'!C14)/MIN('IR Calculator'!C16,500))*0.000001)*'IR Calculator'!$C$7*'IR Calculator'!$C$19),700))-1)*0.000001</f>
        <v>41.9577476368586</v>
      </c>
    </row>
    <row r="477" customFormat="false" ht="12.75" hidden="false" customHeight="true" outlineLevel="0" collapsed="false">
      <c r="B477" s="22" t="n">
        <v>467</v>
      </c>
      <c r="C477" s="23" t="n">
        <f aca="false">'IR Calculator'!C14+(467-0.5)*('IR Calculator'!C15-'IR Calculator'!C14)/MIN('IR Calculator'!C16,500)</f>
        <v>9.866</v>
      </c>
      <c r="D477" s="24" t="n">
        <f aca="false">('IR Calculator'!C15-'IR Calculator'!C14)/MIN('IR Calculator'!C16,500)</f>
        <v>0.004</v>
      </c>
      <c r="E477" s="25" t="n">
        <f aca="false">(2*'IR Calculator'!$C$5*'IR Calculator'!$C$6^2/((('IR Calculator'!C14+(467-0.5)*('IR Calculator'!C15-'IR Calculator'!C14)/MIN('IR Calculator'!C16,500))*0.000001)^5))/(EXP(MIN('IR Calculator'!$C$5*'IR Calculator'!$C$6/((('IR Calculator'!C14+(467-0.5)*('IR Calculator'!C15-'IR Calculator'!C14)/MIN('IR Calculator'!C16,500))*0.000001)*'IR Calculator'!$C$7*'IR Calculator'!$C$19),700))-1)*0.000001</f>
        <v>41.933260721625</v>
      </c>
    </row>
    <row r="478" customFormat="false" ht="12.75" hidden="false" customHeight="true" outlineLevel="0" collapsed="false">
      <c r="B478" s="26" t="n">
        <v>468</v>
      </c>
      <c r="C478" s="27" t="n">
        <f aca="false">'IR Calculator'!C14+(468-0.5)*('IR Calculator'!C15-'IR Calculator'!C14)/MIN('IR Calculator'!C16,500)</f>
        <v>9.87</v>
      </c>
      <c r="D478" s="28" t="n">
        <f aca="false">('IR Calculator'!C15-'IR Calculator'!C14)/MIN('IR Calculator'!C16,500)</f>
        <v>0.004</v>
      </c>
      <c r="E478" s="29" t="n">
        <f aca="false">(2*'IR Calculator'!$C$5*'IR Calculator'!$C$6^2/((('IR Calculator'!C14+(468-0.5)*('IR Calculator'!C15-'IR Calculator'!C14)/MIN('IR Calculator'!C16,500))*0.000001)^5))/(EXP(MIN('IR Calculator'!$C$5*'IR Calculator'!$C$6/((('IR Calculator'!C14+(468-0.5)*('IR Calculator'!C15-'IR Calculator'!C14)/MIN('IR Calculator'!C16,500))*0.000001)*'IR Calculator'!$C$7*'IR Calculator'!$C$19),700))-1)*0.000001</f>
        <v>41.9087762776075</v>
      </c>
    </row>
    <row r="479" customFormat="false" ht="12.75" hidden="false" customHeight="true" outlineLevel="0" collapsed="false">
      <c r="B479" s="22" t="n">
        <v>469</v>
      </c>
      <c r="C479" s="23" t="n">
        <f aca="false">'IR Calculator'!C14+(469-0.5)*('IR Calculator'!C15-'IR Calculator'!C14)/MIN('IR Calculator'!C16,500)</f>
        <v>9.874</v>
      </c>
      <c r="D479" s="24" t="n">
        <f aca="false">('IR Calculator'!C15-'IR Calculator'!C14)/MIN('IR Calculator'!C16,500)</f>
        <v>0.004</v>
      </c>
      <c r="E479" s="25" t="n">
        <f aca="false">(2*'IR Calculator'!$C$5*'IR Calculator'!$C$6^2/((('IR Calculator'!C14+(469-0.5)*('IR Calculator'!C15-'IR Calculator'!C14)/MIN('IR Calculator'!C16,500))*0.000001)^5))/(EXP(MIN('IR Calculator'!$C$5*'IR Calculator'!$C$6/((('IR Calculator'!C14+(469-0.5)*('IR Calculator'!C15-'IR Calculator'!C14)/MIN('IR Calculator'!C16,500))*0.000001)*'IR Calculator'!$C$7*'IR Calculator'!$C$19),700))-1)*0.000001</f>
        <v>41.884294346223</v>
      </c>
    </row>
    <row r="480" customFormat="false" ht="12.75" hidden="false" customHeight="true" outlineLevel="0" collapsed="false">
      <c r="B480" s="26" t="n">
        <v>470</v>
      </c>
      <c r="C480" s="27" t="n">
        <f aca="false">'IR Calculator'!C14+(470-0.5)*('IR Calculator'!C15-'IR Calculator'!C14)/MIN('IR Calculator'!C16,500)</f>
        <v>9.878</v>
      </c>
      <c r="D480" s="28" t="n">
        <f aca="false">('IR Calculator'!C15-'IR Calculator'!C14)/MIN('IR Calculator'!C16,500)</f>
        <v>0.004</v>
      </c>
      <c r="E480" s="29" t="n">
        <f aca="false">(2*'IR Calculator'!$C$5*'IR Calculator'!$C$6^2/((('IR Calculator'!C14+(470-0.5)*('IR Calculator'!C15-'IR Calculator'!C14)/MIN('IR Calculator'!C16,500))*0.000001)^5))/(EXP(MIN('IR Calculator'!$C$5*'IR Calculator'!$C$6/((('IR Calculator'!C14+(470-0.5)*('IR Calculator'!C15-'IR Calculator'!C14)/MIN('IR Calculator'!C16,500))*0.000001)*'IR Calculator'!$C$7*'IR Calculator'!$C$19),700))-1)*0.000001</f>
        <v>41.8598149687512</v>
      </c>
    </row>
    <row r="481" customFormat="false" ht="12.75" hidden="false" customHeight="true" outlineLevel="0" collapsed="false">
      <c r="B481" s="22" t="n">
        <v>471</v>
      </c>
      <c r="C481" s="23" t="n">
        <f aca="false">'IR Calculator'!C14+(471-0.5)*('IR Calculator'!C15-'IR Calculator'!C14)/MIN('IR Calculator'!C16,500)</f>
        <v>9.882</v>
      </c>
      <c r="D481" s="24" t="n">
        <f aca="false">('IR Calculator'!C15-'IR Calculator'!C14)/MIN('IR Calculator'!C16,500)</f>
        <v>0.004</v>
      </c>
      <c r="E481" s="25" t="n">
        <f aca="false">(2*'IR Calculator'!$C$5*'IR Calculator'!$C$6^2/((('IR Calculator'!C14+(471-0.5)*('IR Calculator'!C15-'IR Calculator'!C14)/MIN('IR Calculator'!C16,500))*0.000001)^5))/(EXP(MIN('IR Calculator'!$C$5*'IR Calculator'!$C$6/((('IR Calculator'!C14+(471-0.5)*('IR Calculator'!C15-'IR Calculator'!C14)/MIN('IR Calculator'!C16,500))*0.000001)*'IR Calculator'!$C$7*'IR Calculator'!$C$19),700))-1)*0.000001</f>
        <v>41.8353381863355</v>
      </c>
    </row>
    <row r="482" customFormat="false" ht="12.75" hidden="false" customHeight="true" outlineLevel="0" collapsed="false">
      <c r="B482" s="26" t="n">
        <v>472</v>
      </c>
      <c r="C482" s="27" t="n">
        <f aca="false">'IR Calculator'!C14+(472-0.5)*('IR Calculator'!C15-'IR Calculator'!C14)/MIN('IR Calculator'!C16,500)</f>
        <v>9.886</v>
      </c>
      <c r="D482" s="28" t="n">
        <f aca="false">('IR Calculator'!C15-'IR Calculator'!C14)/MIN('IR Calculator'!C16,500)</f>
        <v>0.004</v>
      </c>
      <c r="E482" s="29" t="n">
        <f aca="false">(2*'IR Calculator'!$C$5*'IR Calculator'!$C$6^2/((('IR Calculator'!C14+(472-0.5)*('IR Calculator'!C15-'IR Calculator'!C14)/MIN('IR Calculator'!C16,500))*0.000001)^5))/(EXP(MIN('IR Calculator'!$C$5*'IR Calculator'!$C$6/((('IR Calculator'!C14+(472-0.5)*('IR Calculator'!C15-'IR Calculator'!C14)/MIN('IR Calculator'!C16,500))*0.000001)*'IR Calculator'!$C$7*'IR Calculator'!$C$19),700))-1)*0.000001</f>
        <v>41.8108640399825</v>
      </c>
    </row>
    <row r="483" customFormat="false" ht="12.75" hidden="false" customHeight="true" outlineLevel="0" collapsed="false">
      <c r="B483" s="22" t="n">
        <v>473</v>
      </c>
      <c r="C483" s="23" t="n">
        <f aca="false">'IR Calculator'!C14+(473-0.5)*('IR Calculator'!C15-'IR Calculator'!C14)/MIN('IR Calculator'!C16,500)</f>
        <v>9.89</v>
      </c>
      <c r="D483" s="24" t="n">
        <f aca="false">('IR Calculator'!C15-'IR Calculator'!C14)/MIN('IR Calculator'!C16,500)</f>
        <v>0.004</v>
      </c>
      <c r="E483" s="25" t="n">
        <f aca="false">(2*'IR Calculator'!$C$5*'IR Calculator'!$C$6^2/((('IR Calculator'!C14+(473-0.5)*('IR Calculator'!C15-'IR Calculator'!C14)/MIN('IR Calculator'!C16,500))*0.000001)^5))/(EXP(MIN('IR Calculator'!$C$5*'IR Calculator'!$C$6/((('IR Calculator'!C14+(473-0.5)*('IR Calculator'!C15-'IR Calculator'!C14)/MIN('IR Calculator'!C16,500))*0.000001)*'IR Calculator'!$C$7*'IR Calculator'!$C$19),700))-1)*0.000001</f>
        <v>41.7863925705632</v>
      </c>
    </row>
    <row r="484" customFormat="false" ht="12.75" hidden="false" customHeight="true" outlineLevel="0" collapsed="false">
      <c r="B484" s="26" t="n">
        <v>474</v>
      </c>
      <c r="C484" s="27" t="n">
        <f aca="false">'IR Calculator'!C14+(474-0.5)*('IR Calculator'!C15-'IR Calculator'!C14)/MIN('IR Calculator'!C16,500)</f>
        <v>9.894</v>
      </c>
      <c r="D484" s="28" t="n">
        <f aca="false">('IR Calculator'!C15-'IR Calculator'!C14)/MIN('IR Calculator'!C16,500)</f>
        <v>0.004</v>
      </c>
      <c r="E484" s="29" t="n">
        <f aca="false">(2*'IR Calculator'!$C$5*'IR Calculator'!$C$6^2/((('IR Calculator'!C14+(474-0.5)*('IR Calculator'!C15-'IR Calculator'!C14)/MIN('IR Calculator'!C16,500))*0.000001)^5))/(EXP(MIN('IR Calculator'!$C$5*'IR Calculator'!$C$6/((('IR Calculator'!C14+(474-0.5)*('IR Calculator'!C15-'IR Calculator'!C14)/MIN('IR Calculator'!C16,500))*0.000001)*'IR Calculator'!$C$7*'IR Calculator'!$C$19),700))-1)*0.000001</f>
        <v>41.7619238188128</v>
      </c>
    </row>
    <row r="485" customFormat="false" ht="12.75" hidden="false" customHeight="true" outlineLevel="0" collapsed="false">
      <c r="B485" s="22" t="n">
        <v>475</v>
      </c>
      <c r="C485" s="23" t="n">
        <f aca="false">'IR Calculator'!C14+(475-0.5)*('IR Calculator'!C15-'IR Calculator'!C14)/MIN('IR Calculator'!C16,500)</f>
        <v>9.898</v>
      </c>
      <c r="D485" s="24" t="n">
        <f aca="false">('IR Calculator'!C15-'IR Calculator'!C14)/MIN('IR Calculator'!C16,500)</f>
        <v>0.004</v>
      </c>
      <c r="E485" s="25" t="n">
        <f aca="false">(2*'IR Calculator'!$C$5*'IR Calculator'!$C$6^2/((('IR Calculator'!C14+(475-0.5)*('IR Calculator'!C15-'IR Calculator'!C14)/MIN('IR Calculator'!C16,500))*0.000001)^5))/(EXP(MIN('IR Calculator'!$C$5*'IR Calculator'!$C$6/((('IR Calculator'!C14+(475-0.5)*('IR Calculator'!C15-'IR Calculator'!C14)/MIN('IR Calculator'!C16,500))*0.000001)*'IR Calculator'!$C$7*'IR Calculator'!$C$19),700))-1)*0.000001</f>
        <v>41.7374578253312</v>
      </c>
    </row>
    <row r="486" customFormat="false" ht="12.75" hidden="false" customHeight="true" outlineLevel="0" collapsed="false">
      <c r="B486" s="26" t="n">
        <v>476</v>
      </c>
      <c r="C486" s="27" t="n">
        <f aca="false">'IR Calculator'!C14+(476-0.5)*('IR Calculator'!C15-'IR Calculator'!C14)/MIN('IR Calculator'!C16,500)</f>
        <v>9.902</v>
      </c>
      <c r="D486" s="28" t="n">
        <f aca="false">('IR Calculator'!C15-'IR Calculator'!C14)/MIN('IR Calculator'!C16,500)</f>
        <v>0.004</v>
      </c>
      <c r="E486" s="29" t="n">
        <f aca="false">(2*'IR Calculator'!$C$5*'IR Calculator'!$C$6^2/((('IR Calculator'!C14+(476-0.5)*('IR Calculator'!C15-'IR Calculator'!C14)/MIN('IR Calculator'!C16,500))*0.000001)^5))/(EXP(MIN('IR Calculator'!$C$5*'IR Calculator'!$C$6/((('IR Calculator'!C14+(476-0.5)*('IR Calculator'!C15-'IR Calculator'!C14)/MIN('IR Calculator'!C16,500))*0.000001)*'IR Calculator'!$C$7*'IR Calculator'!$C$19),700))-1)*0.000001</f>
        <v>41.7129946305829</v>
      </c>
    </row>
    <row r="487" customFormat="false" ht="12.75" hidden="false" customHeight="true" outlineLevel="0" collapsed="false">
      <c r="B487" s="22" t="n">
        <v>477</v>
      </c>
      <c r="C487" s="23" t="n">
        <f aca="false">'IR Calculator'!C14+(477-0.5)*('IR Calculator'!C15-'IR Calculator'!C14)/MIN('IR Calculator'!C16,500)</f>
        <v>9.906</v>
      </c>
      <c r="D487" s="24" t="n">
        <f aca="false">('IR Calculator'!C15-'IR Calculator'!C14)/MIN('IR Calculator'!C16,500)</f>
        <v>0.004</v>
      </c>
      <c r="E487" s="25" t="n">
        <f aca="false">(2*'IR Calculator'!$C$5*'IR Calculator'!$C$6^2/((('IR Calculator'!C14+(477-0.5)*('IR Calculator'!C15-'IR Calculator'!C14)/MIN('IR Calculator'!C16,500))*0.000001)^5))/(EXP(MIN('IR Calculator'!$C$5*'IR Calculator'!$C$6/((('IR Calculator'!C14+(477-0.5)*('IR Calculator'!C15-'IR Calculator'!C14)/MIN('IR Calculator'!C16,500))*0.000001)*'IR Calculator'!$C$7*'IR Calculator'!$C$19),700))-1)*0.000001</f>
        <v>41.6885342748981</v>
      </c>
    </row>
    <row r="488" customFormat="false" ht="12.75" hidden="false" customHeight="true" outlineLevel="0" collapsed="false">
      <c r="B488" s="26" t="n">
        <v>478</v>
      </c>
      <c r="C488" s="27" t="n">
        <f aca="false">'IR Calculator'!C14+(478-0.5)*('IR Calculator'!C15-'IR Calculator'!C14)/MIN('IR Calculator'!C16,500)</f>
        <v>9.91</v>
      </c>
      <c r="D488" s="28" t="n">
        <f aca="false">('IR Calculator'!C15-'IR Calculator'!C14)/MIN('IR Calculator'!C16,500)</f>
        <v>0.004</v>
      </c>
      <c r="E488" s="29" t="n">
        <f aca="false">(2*'IR Calculator'!$C$5*'IR Calculator'!$C$6^2/((('IR Calculator'!C14+(478-0.5)*('IR Calculator'!C15-'IR Calculator'!C14)/MIN('IR Calculator'!C16,500))*0.000001)^5))/(EXP(MIN('IR Calculator'!$C$5*'IR Calculator'!$C$6/((('IR Calculator'!C14+(478-0.5)*('IR Calculator'!C15-'IR Calculator'!C14)/MIN('IR Calculator'!C16,500))*0.000001)*'IR Calculator'!$C$7*'IR Calculator'!$C$19),700))-1)*0.000001</f>
        <v>41.6640767984724</v>
      </c>
    </row>
    <row r="489" customFormat="false" ht="12.75" hidden="false" customHeight="true" outlineLevel="0" collapsed="false">
      <c r="B489" s="22" t="n">
        <v>479</v>
      </c>
      <c r="C489" s="23" t="n">
        <f aca="false">'IR Calculator'!C14+(479-0.5)*('IR Calculator'!C15-'IR Calculator'!C14)/MIN('IR Calculator'!C16,500)</f>
        <v>9.914</v>
      </c>
      <c r="D489" s="24" t="n">
        <f aca="false">('IR Calculator'!C15-'IR Calculator'!C14)/MIN('IR Calculator'!C16,500)</f>
        <v>0.004</v>
      </c>
      <c r="E489" s="25" t="n">
        <f aca="false">(2*'IR Calculator'!$C$5*'IR Calculator'!$C$6^2/((('IR Calculator'!C14+(479-0.5)*('IR Calculator'!C15-'IR Calculator'!C14)/MIN('IR Calculator'!C16,500))*0.000001)^5))/(EXP(MIN('IR Calculator'!$C$5*'IR Calculator'!$C$6/((('IR Calculator'!C14+(479-0.5)*('IR Calculator'!C15-'IR Calculator'!C14)/MIN('IR Calculator'!C16,500))*0.000001)*'IR Calculator'!$C$7*'IR Calculator'!$C$19),700))-1)*0.000001</f>
        <v>41.6396222413672</v>
      </c>
    </row>
    <row r="490" customFormat="false" ht="12.75" hidden="false" customHeight="true" outlineLevel="0" collapsed="false">
      <c r="B490" s="26" t="n">
        <v>480</v>
      </c>
      <c r="C490" s="27" t="n">
        <f aca="false">'IR Calculator'!C14+(480-0.5)*('IR Calculator'!C15-'IR Calculator'!C14)/MIN('IR Calculator'!C16,500)</f>
        <v>9.918</v>
      </c>
      <c r="D490" s="28" t="n">
        <f aca="false">('IR Calculator'!C15-'IR Calculator'!C14)/MIN('IR Calculator'!C16,500)</f>
        <v>0.004</v>
      </c>
      <c r="E490" s="29" t="n">
        <f aca="false">(2*'IR Calculator'!$C$5*'IR Calculator'!$C$6^2/((('IR Calculator'!C14+(480-0.5)*('IR Calculator'!C15-'IR Calculator'!C14)/MIN('IR Calculator'!C16,500))*0.000001)^5))/(EXP(MIN('IR Calculator'!$C$5*'IR Calculator'!$C$6/((('IR Calculator'!C14+(480-0.5)*('IR Calculator'!C15-'IR Calculator'!C14)/MIN('IR Calculator'!C16,500))*0.000001)*'IR Calculator'!$C$7*'IR Calculator'!$C$19),700))-1)*0.000001</f>
        <v>41.6151706435103</v>
      </c>
    </row>
    <row r="491" customFormat="false" ht="12.75" hidden="false" customHeight="true" outlineLevel="0" collapsed="false">
      <c r="B491" s="22" t="n">
        <v>481</v>
      </c>
      <c r="C491" s="23" t="n">
        <f aca="false">'IR Calculator'!C14+(481-0.5)*('IR Calculator'!C15-'IR Calculator'!C14)/MIN('IR Calculator'!C16,500)</f>
        <v>9.922</v>
      </c>
      <c r="D491" s="24" t="n">
        <f aca="false">('IR Calculator'!C15-'IR Calculator'!C14)/MIN('IR Calculator'!C16,500)</f>
        <v>0.004</v>
      </c>
      <c r="E491" s="25" t="n">
        <f aca="false">(2*'IR Calculator'!$C$5*'IR Calculator'!$C$6^2/((('IR Calculator'!C14+(481-0.5)*('IR Calculator'!C15-'IR Calculator'!C14)/MIN('IR Calculator'!C16,500))*0.000001)^5))/(EXP(MIN('IR Calculator'!$C$5*'IR Calculator'!$C$6/((('IR Calculator'!C14+(481-0.5)*('IR Calculator'!C15-'IR Calculator'!C14)/MIN('IR Calculator'!C16,500))*0.000001)*'IR Calculator'!$C$7*'IR Calculator'!$C$19),700))-1)*0.000001</f>
        <v>41.5907220446959</v>
      </c>
    </row>
    <row r="492" customFormat="false" ht="12.75" hidden="false" customHeight="true" outlineLevel="0" collapsed="false">
      <c r="B492" s="26" t="n">
        <v>482</v>
      </c>
      <c r="C492" s="27" t="n">
        <f aca="false">'IR Calculator'!C14+(482-0.5)*('IR Calculator'!C15-'IR Calculator'!C14)/MIN('IR Calculator'!C16,500)</f>
        <v>9.926</v>
      </c>
      <c r="D492" s="28" t="n">
        <f aca="false">('IR Calculator'!C15-'IR Calculator'!C14)/MIN('IR Calculator'!C16,500)</f>
        <v>0.004</v>
      </c>
      <c r="E492" s="29" t="n">
        <f aca="false">(2*'IR Calculator'!$C$5*'IR Calculator'!$C$6^2/((('IR Calculator'!C14+(482-0.5)*('IR Calculator'!C15-'IR Calculator'!C14)/MIN('IR Calculator'!C16,500))*0.000001)^5))/(EXP(MIN('IR Calculator'!$C$5*'IR Calculator'!$C$6/((('IR Calculator'!C14+(482-0.5)*('IR Calculator'!C15-'IR Calculator'!C14)/MIN('IR Calculator'!C16,500))*0.000001)*'IR Calculator'!$C$7*'IR Calculator'!$C$19),700))-1)*0.000001</f>
        <v>41.5662764845851</v>
      </c>
    </row>
    <row r="493" customFormat="false" ht="12.75" hidden="false" customHeight="true" outlineLevel="0" collapsed="false">
      <c r="B493" s="22" t="n">
        <v>483</v>
      </c>
      <c r="C493" s="23" t="n">
        <f aca="false">'IR Calculator'!C14+(483-0.5)*('IR Calculator'!C15-'IR Calculator'!C14)/MIN('IR Calculator'!C16,500)</f>
        <v>9.93</v>
      </c>
      <c r="D493" s="24" t="n">
        <f aca="false">('IR Calculator'!C15-'IR Calculator'!C14)/MIN('IR Calculator'!C16,500)</f>
        <v>0.004</v>
      </c>
      <c r="E493" s="25" t="n">
        <f aca="false">(2*'IR Calculator'!$C$5*'IR Calculator'!$C$6^2/((('IR Calculator'!C14+(483-0.5)*('IR Calculator'!C15-'IR Calculator'!C14)/MIN('IR Calculator'!C16,500))*0.000001)^5))/(EXP(MIN('IR Calculator'!$C$5*'IR Calculator'!$C$6/((('IR Calculator'!C14+(483-0.5)*('IR Calculator'!C15-'IR Calculator'!C14)/MIN('IR Calculator'!C16,500))*0.000001)*'IR Calculator'!$C$7*'IR Calculator'!$C$19),700))-1)*0.000001</f>
        <v>41.5418340027061</v>
      </c>
    </row>
    <row r="494" customFormat="false" ht="12.75" hidden="false" customHeight="true" outlineLevel="0" collapsed="false">
      <c r="B494" s="26" t="n">
        <v>484</v>
      </c>
      <c r="C494" s="27" t="n">
        <f aca="false">'IR Calculator'!C14+(484-0.5)*('IR Calculator'!C15-'IR Calculator'!C14)/MIN('IR Calculator'!C16,500)</f>
        <v>9.934</v>
      </c>
      <c r="D494" s="28" t="n">
        <f aca="false">('IR Calculator'!C15-'IR Calculator'!C14)/MIN('IR Calculator'!C16,500)</f>
        <v>0.004</v>
      </c>
      <c r="E494" s="29" t="n">
        <f aca="false">(2*'IR Calculator'!$C$5*'IR Calculator'!$C$6^2/((('IR Calculator'!C14+(484-0.5)*('IR Calculator'!C15-'IR Calculator'!C14)/MIN('IR Calculator'!C16,500))*0.000001)^5))/(EXP(MIN('IR Calculator'!$C$5*'IR Calculator'!$C$6/((('IR Calculator'!C14+(484-0.5)*('IR Calculator'!C15-'IR Calculator'!C14)/MIN('IR Calculator'!C16,500))*0.000001)*'IR Calculator'!$C$7*'IR Calculator'!$C$19),700))-1)*0.000001</f>
        <v>41.5173946384546</v>
      </c>
    </row>
    <row r="495" customFormat="false" ht="12.75" hidden="false" customHeight="true" outlineLevel="0" collapsed="false">
      <c r="B495" s="22" t="n">
        <v>485</v>
      </c>
      <c r="C495" s="23" t="n">
        <f aca="false">'IR Calculator'!C14+(485-0.5)*('IR Calculator'!C15-'IR Calculator'!C14)/MIN('IR Calculator'!C16,500)</f>
        <v>9.938</v>
      </c>
      <c r="D495" s="24" t="n">
        <f aca="false">('IR Calculator'!C15-'IR Calculator'!C14)/MIN('IR Calculator'!C16,500)</f>
        <v>0.004</v>
      </c>
      <c r="E495" s="25" t="n">
        <f aca="false">(2*'IR Calculator'!$C$5*'IR Calculator'!$C$6^2/((('IR Calculator'!C14+(485-0.5)*('IR Calculator'!C15-'IR Calculator'!C14)/MIN('IR Calculator'!C16,500))*0.000001)^5))/(EXP(MIN('IR Calculator'!$C$5*'IR Calculator'!$C$6/((('IR Calculator'!C14+(485-0.5)*('IR Calculator'!C15-'IR Calculator'!C14)/MIN('IR Calculator'!C16,500))*0.000001)*'IR Calculator'!$C$7*'IR Calculator'!$C$19),700))-1)*0.000001</f>
        <v>41.4929584310941</v>
      </c>
    </row>
    <row r="496" customFormat="false" ht="12.75" hidden="false" customHeight="true" outlineLevel="0" collapsed="false">
      <c r="B496" s="26" t="n">
        <v>486</v>
      </c>
      <c r="C496" s="27" t="n">
        <f aca="false">'IR Calculator'!C14+(486-0.5)*('IR Calculator'!C15-'IR Calculator'!C14)/MIN('IR Calculator'!C16,500)</f>
        <v>9.942</v>
      </c>
      <c r="D496" s="28" t="n">
        <f aca="false">('IR Calculator'!C15-'IR Calculator'!C14)/MIN('IR Calculator'!C16,500)</f>
        <v>0.004</v>
      </c>
      <c r="E496" s="29" t="n">
        <f aca="false">(2*'IR Calculator'!$C$5*'IR Calculator'!$C$6^2/((('IR Calculator'!C14+(486-0.5)*('IR Calculator'!C15-'IR Calculator'!C14)/MIN('IR Calculator'!C16,500))*0.000001)^5))/(EXP(MIN('IR Calculator'!$C$5*'IR Calculator'!$C$6/((('IR Calculator'!C14+(486-0.5)*('IR Calculator'!C15-'IR Calculator'!C14)/MIN('IR Calculator'!C16,500))*0.000001)*'IR Calculator'!$C$7*'IR Calculator'!$C$19),700))-1)*0.000001</f>
        <v>41.4685254197561</v>
      </c>
    </row>
    <row r="497" customFormat="false" ht="12.75" hidden="false" customHeight="true" outlineLevel="0" collapsed="false">
      <c r="B497" s="22" t="n">
        <v>487</v>
      </c>
      <c r="C497" s="23" t="n">
        <f aca="false">'IR Calculator'!C14+(487-0.5)*('IR Calculator'!C15-'IR Calculator'!C14)/MIN('IR Calculator'!C16,500)</f>
        <v>9.946</v>
      </c>
      <c r="D497" s="24" t="n">
        <f aca="false">('IR Calculator'!C15-'IR Calculator'!C14)/MIN('IR Calculator'!C16,500)</f>
        <v>0.004</v>
      </c>
      <c r="E497" s="25" t="n">
        <f aca="false">(2*'IR Calculator'!$C$5*'IR Calculator'!$C$6^2/((('IR Calculator'!C14+(487-0.5)*('IR Calculator'!C15-'IR Calculator'!C14)/MIN('IR Calculator'!C16,500))*0.000001)^5))/(EXP(MIN('IR Calculator'!$C$5*'IR Calculator'!$C$6/((('IR Calculator'!C14+(487-0.5)*('IR Calculator'!C15-'IR Calculator'!C14)/MIN('IR Calculator'!C16,500))*0.000001)*'IR Calculator'!$C$7*'IR Calculator'!$C$19),700))-1)*0.000001</f>
        <v>41.4440956434407</v>
      </c>
    </row>
    <row r="498" customFormat="false" ht="12.75" hidden="false" customHeight="true" outlineLevel="0" collapsed="false">
      <c r="B498" s="26" t="n">
        <v>488</v>
      </c>
      <c r="C498" s="27" t="n">
        <f aca="false">'IR Calculator'!C14+(488-0.5)*('IR Calculator'!C15-'IR Calculator'!C14)/MIN('IR Calculator'!C16,500)</f>
        <v>9.95</v>
      </c>
      <c r="D498" s="28" t="n">
        <f aca="false">('IR Calculator'!C15-'IR Calculator'!C14)/MIN('IR Calculator'!C16,500)</f>
        <v>0.004</v>
      </c>
      <c r="E498" s="29" t="n">
        <f aca="false">(2*'IR Calculator'!$C$5*'IR Calculator'!$C$6^2/((('IR Calculator'!C14+(488-0.5)*('IR Calculator'!C15-'IR Calculator'!C14)/MIN('IR Calculator'!C16,500))*0.000001)^5))/(EXP(MIN('IR Calculator'!$C$5*'IR Calculator'!$C$6/((('IR Calculator'!C14+(488-0.5)*('IR Calculator'!C15-'IR Calculator'!C14)/MIN('IR Calculator'!C16,500))*0.000001)*'IR Calculator'!$C$7*'IR Calculator'!$C$19),700))-1)*0.000001</f>
        <v>41.4196691410165</v>
      </c>
    </row>
    <row r="499" customFormat="false" ht="12.75" hidden="false" customHeight="true" outlineLevel="0" collapsed="false">
      <c r="B499" s="22" t="n">
        <v>489</v>
      </c>
      <c r="C499" s="23" t="n">
        <f aca="false">'IR Calculator'!C14+(489-0.5)*('IR Calculator'!C15-'IR Calculator'!C14)/MIN('IR Calculator'!C16,500)</f>
        <v>9.954</v>
      </c>
      <c r="D499" s="24" t="n">
        <f aca="false">('IR Calculator'!C15-'IR Calculator'!C14)/MIN('IR Calculator'!C16,500)</f>
        <v>0.004</v>
      </c>
      <c r="E499" s="25" t="n">
        <f aca="false">(2*'IR Calculator'!$C$5*'IR Calculator'!$C$6^2/((('IR Calculator'!C14+(489-0.5)*('IR Calculator'!C15-'IR Calculator'!C14)/MIN('IR Calculator'!C16,500))*0.000001)^5))/(EXP(MIN('IR Calculator'!$C$5*'IR Calculator'!$C$6/((('IR Calculator'!C14+(489-0.5)*('IR Calculator'!C15-'IR Calculator'!C14)/MIN('IR Calculator'!C16,500))*0.000001)*'IR Calculator'!$C$7*'IR Calculator'!$C$19),700))-1)*0.000001</f>
        <v>41.3952459512213</v>
      </c>
    </row>
    <row r="500" customFormat="false" ht="12.75" hidden="false" customHeight="true" outlineLevel="0" collapsed="false">
      <c r="B500" s="26" t="n">
        <v>490</v>
      </c>
      <c r="C500" s="27" t="n">
        <f aca="false">'IR Calculator'!C14+(490-0.5)*('IR Calculator'!C15-'IR Calculator'!C14)/MIN('IR Calculator'!C16,500)</f>
        <v>9.958</v>
      </c>
      <c r="D500" s="28" t="n">
        <f aca="false">('IR Calculator'!C15-'IR Calculator'!C14)/MIN('IR Calculator'!C16,500)</f>
        <v>0.004</v>
      </c>
      <c r="E500" s="29" t="n">
        <f aca="false">(2*'IR Calculator'!$C$5*'IR Calculator'!$C$6^2/((('IR Calculator'!C14+(490-0.5)*('IR Calculator'!C15-'IR Calculator'!C14)/MIN('IR Calculator'!C16,500))*0.000001)^5))/(EXP(MIN('IR Calculator'!$C$5*'IR Calculator'!$C$6/((('IR Calculator'!C14+(490-0.5)*('IR Calculator'!C15-'IR Calculator'!C14)/MIN('IR Calculator'!C16,500))*0.000001)*'IR Calculator'!$C$7*'IR Calculator'!$C$19),700))-1)*0.000001</f>
        <v>41.3708261126621</v>
      </c>
    </row>
    <row r="501" customFormat="false" ht="12.75" hidden="false" customHeight="true" outlineLevel="0" collapsed="false">
      <c r="B501" s="22" t="n">
        <v>491</v>
      </c>
      <c r="C501" s="23" t="n">
        <f aca="false">'IR Calculator'!C14+(491-0.5)*('IR Calculator'!C15-'IR Calculator'!C14)/MIN('IR Calculator'!C16,500)</f>
        <v>9.962</v>
      </c>
      <c r="D501" s="24" t="n">
        <f aca="false">('IR Calculator'!C15-'IR Calculator'!C14)/MIN('IR Calculator'!C16,500)</f>
        <v>0.004</v>
      </c>
      <c r="E501" s="25" t="n">
        <f aca="false">(2*'IR Calculator'!$C$5*'IR Calculator'!$C$6^2/((('IR Calculator'!C14+(491-0.5)*('IR Calculator'!C15-'IR Calculator'!C14)/MIN('IR Calculator'!C16,500))*0.000001)^5))/(EXP(MIN('IR Calculator'!$C$5*'IR Calculator'!$C$6/((('IR Calculator'!C14+(491-0.5)*('IR Calculator'!C15-'IR Calculator'!C14)/MIN('IR Calculator'!C16,500))*0.000001)*'IR Calculator'!$C$7*'IR Calculator'!$C$19),700))-1)*0.000001</f>
        <v>41.3464096638156</v>
      </c>
    </row>
    <row r="502" customFormat="false" ht="12.75" hidden="false" customHeight="true" outlineLevel="0" collapsed="false">
      <c r="B502" s="26" t="n">
        <v>492</v>
      </c>
      <c r="C502" s="27" t="n">
        <f aca="false">'IR Calculator'!C14+(492-0.5)*('IR Calculator'!C15-'IR Calculator'!C14)/MIN('IR Calculator'!C16,500)</f>
        <v>9.966</v>
      </c>
      <c r="D502" s="28" t="n">
        <f aca="false">('IR Calculator'!C15-'IR Calculator'!C14)/MIN('IR Calculator'!C16,500)</f>
        <v>0.004</v>
      </c>
      <c r="E502" s="29" t="n">
        <f aca="false">(2*'IR Calculator'!$C$5*'IR Calculator'!$C$6^2/((('IR Calculator'!C14+(492-0.5)*('IR Calculator'!C15-'IR Calculator'!C14)/MIN('IR Calculator'!C16,500))*0.000001)^5))/(EXP(MIN('IR Calculator'!$C$5*'IR Calculator'!$C$6/((('IR Calculator'!C14+(492-0.5)*('IR Calculator'!C15-'IR Calculator'!C14)/MIN('IR Calculator'!C16,500))*0.000001)*'IR Calculator'!$C$7*'IR Calculator'!$C$19),700))-1)*0.000001</f>
        <v>41.3219966430284</v>
      </c>
    </row>
    <row r="503" customFormat="false" ht="12.75" hidden="false" customHeight="true" outlineLevel="0" collapsed="false">
      <c r="B503" s="22" t="n">
        <v>493</v>
      </c>
      <c r="C503" s="23" t="n">
        <f aca="false">'IR Calculator'!C14+(493-0.5)*('IR Calculator'!C15-'IR Calculator'!C14)/MIN('IR Calculator'!C16,500)</f>
        <v>9.97</v>
      </c>
      <c r="D503" s="24" t="n">
        <f aca="false">('IR Calculator'!C15-'IR Calculator'!C14)/MIN('IR Calculator'!C16,500)</f>
        <v>0.004</v>
      </c>
      <c r="E503" s="25" t="n">
        <f aca="false">(2*'IR Calculator'!$C$5*'IR Calculator'!$C$6^2/((('IR Calculator'!C14+(493-0.5)*('IR Calculator'!C15-'IR Calculator'!C14)/MIN('IR Calculator'!C16,500))*0.000001)^5))/(EXP(MIN('IR Calculator'!$C$5*'IR Calculator'!$C$6/((('IR Calculator'!C14+(493-0.5)*('IR Calculator'!C15-'IR Calculator'!C14)/MIN('IR Calculator'!C16,500))*0.000001)*'IR Calculator'!$C$7*'IR Calculator'!$C$19),700))-1)*0.000001</f>
        <v>41.2975870885175</v>
      </c>
    </row>
    <row r="504" customFormat="false" ht="12.75" hidden="false" customHeight="true" outlineLevel="0" collapsed="false">
      <c r="B504" s="26" t="n">
        <v>494</v>
      </c>
      <c r="C504" s="27" t="n">
        <f aca="false">'IR Calculator'!C14+(494-0.5)*('IR Calculator'!C15-'IR Calculator'!C14)/MIN('IR Calculator'!C16,500)</f>
        <v>9.974</v>
      </c>
      <c r="D504" s="28" t="n">
        <f aca="false">('IR Calculator'!C15-'IR Calculator'!C14)/MIN('IR Calculator'!C16,500)</f>
        <v>0.004</v>
      </c>
      <c r="E504" s="29" t="n">
        <f aca="false">(2*'IR Calculator'!$C$5*'IR Calculator'!$C$6^2/((('IR Calculator'!C14+(494-0.5)*('IR Calculator'!C15-'IR Calculator'!C14)/MIN('IR Calculator'!C16,500))*0.000001)^5))/(EXP(MIN('IR Calculator'!$C$5*'IR Calculator'!$C$6/((('IR Calculator'!C14+(494-0.5)*('IR Calculator'!C15-'IR Calculator'!C14)/MIN('IR Calculator'!C16,500))*0.000001)*'IR Calculator'!$C$7*'IR Calculator'!$C$19),700))-1)*0.000001</f>
        <v>41.2731810383703</v>
      </c>
    </row>
    <row r="505" customFormat="false" ht="12.75" hidden="false" customHeight="true" outlineLevel="0" collapsed="false">
      <c r="B505" s="22" t="n">
        <v>495</v>
      </c>
      <c r="C505" s="23" t="n">
        <f aca="false">'IR Calculator'!C14+(495-0.5)*('IR Calculator'!C15-'IR Calculator'!C14)/MIN('IR Calculator'!C16,500)</f>
        <v>9.978</v>
      </c>
      <c r="D505" s="24" t="n">
        <f aca="false">('IR Calculator'!C15-'IR Calculator'!C14)/MIN('IR Calculator'!C16,500)</f>
        <v>0.004</v>
      </c>
      <c r="E505" s="25" t="n">
        <f aca="false">(2*'IR Calculator'!$C$5*'IR Calculator'!$C$6^2/((('IR Calculator'!C14+(495-0.5)*('IR Calculator'!C15-'IR Calculator'!C14)/MIN('IR Calculator'!C16,500))*0.000001)^5))/(EXP(MIN('IR Calculator'!$C$5*'IR Calculator'!$C$6/((('IR Calculator'!C14+(495-0.5)*('IR Calculator'!C15-'IR Calculator'!C14)/MIN('IR Calculator'!C16,500))*0.000001)*'IR Calculator'!$C$7*'IR Calculator'!$C$19),700))-1)*0.000001</f>
        <v>41.2487785305453</v>
      </c>
    </row>
    <row r="506" customFormat="false" ht="12.75" hidden="false" customHeight="true" outlineLevel="0" collapsed="false">
      <c r="B506" s="26" t="n">
        <v>496</v>
      </c>
      <c r="C506" s="27" t="n">
        <f aca="false">'IR Calculator'!C14+(496-0.5)*('IR Calculator'!C15-'IR Calculator'!C14)/MIN('IR Calculator'!C16,500)</f>
        <v>9.982</v>
      </c>
      <c r="D506" s="28" t="n">
        <f aca="false">('IR Calculator'!C15-'IR Calculator'!C14)/MIN('IR Calculator'!C16,500)</f>
        <v>0.004</v>
      </c>
      <c r="E506" s="29" t="n">
        <f aca="false">(2*'IR Calculator'!$C$5*'IR Calculator'!$C$6^2/((('IR Calculator'!C14+(496-0.5)*('IR Calculator'!C15-'IR Calculator'!C14)/MIN('IR Calculator'!C16,500))*0.000001)^5))/(EXP(MIN('IR Calculator'!$C$5*'IR Calculator'!$C$6/((('IR Calculator'!C14+(496-0.5)*('IR Calculator'!C15-'IR Calculator'!C14)/MIN('IR Calculator'!C16,500))*0.000001)*'IR Calculator'!$C$7*'IR Calculator'!$C$19),700))-1)*0.000001</f>
        <v>41.2243796028719</v>
      </c>
    </row>
    <row r="507" customFormat="false" ht="12.75" hidden="false" customHeight="true" outlineLevel="0" collapsed="false">
      <c r="B507" s="22" t="n">
        <v>497</v>
      </c>
      <c r="C507" s="23" t="n">
        <f aca="false">'IR Calculator'!C14+(497-0.5)*('IR Calculator'!C15-'IR Calculator'!C14)/MIN('IR Calculator'!C16,500)</f>
        <v>9.986</v>
      </c>
      <c r="D507" s="24" t="n">
        <f aca="false">('IR Calculator'!C15-'IR Calculator'!C14)/MIN('IR Calculator'!C16,500)</f>
        <v>0.004</v>
      </c>
      <c r="E507" s="25" t="n">
        <f aca="false">(2*'IR Calculator'!$C$5*'IR Calculator'!$C$6^2/((('IR Calculator'!C14+(497-0.5)*('IR Calculator'!C15-'IR Calculator'!C14)/MIN('IR Calculator'!C16,500))*0.000001)^5))/(EXP(MIN('IR Calculator'!$C$5*'IR Calculator'!$C$6/((('IR Calculator'!C14+(497-0.5)*('IR Calculator'!C15-'IR Calculator'!C14)/MIN('IR Calculator'!C16,500))*0.000001)*'IR Calculator'!$C$7*'IR Calculator'!$C$19),700))-1)*0.000001</f>
        <v>41.1999842930512</v>
      </c>
    </row>
    <row r="508" customFormat="false" ht="12.75" hidden="false" customHeight="true" outlineLevel="0" collapsed="false">
      <c r="B508" s="26" t="n">
        <v>498</v>
      </c>
      <c r="C508" s="27" t="n">
        <f aca="false">'IR Calculator'!C14+(498-0.5)*('IR Calculator'!C15-'IR Calculator'!C14)/MIN('IR Calculator'!C16,500)</f>
        <v>9.99</v>
      </c>
      <c r="D508" s="28" t="n">
        <f aca="false">('IR Calculator'!C15-'IR Calculator'!C14)/MIN('IR Calculator'!C16,500)</f>
        <v>0.004</v>
      </c>
      <c r="E508" s="29" t="n">
        <f aca="false">(2*'IR Calculator'!$C$5*'IR Calculator'!$C$6^2/((('IR Calculator'!C14+(498-0.5)*('IR Calculator'!C15-'IR Calculator'!C14)/MIN('IR Calculator'!C16,500))*0.000001)^5))/(EXP(MIN('IR Calculator'!$C$5*'IR Calculator'!$C$6/((('IR Calculator'!C14+(498-0.5)*('IR Calculator'!C15-'IR Calculator'!C14)/MIN('IR Calculator'!C16,500))*0.000001)*'IR Calculator'!$C$7*'IR Calculator'!$C$19),700))-1)*0.000001</f>
        <v>41.1755926386562</v>
      </c>
    </row>
    <row r="509" customFormat="false" ht="12.75" hidden="false" customHeight="true" outlineLevel="0" collapsed="false">
      <c r="B509" s="22" t="n">
        <v>499</v>
      </c>
      <c r="C509" s="23" t="n">
        <f aca="false">'IR Calculator'!C14+(499-0.5)*('IR Calculator'!C15-'IR Calculator'!C14)/MIN('IR Calculator'!C16,500)</f>
        <v>9.994</v>
      </c>
      <c r="D509" s="24" t="n">
        <f aca="false">('IR Calculator'!C15-'IR Calculator'!C14)/MIN('IR Calculator'!C16,500)</f>
        <v>0.004</v>
      </c>
      <c r="E509" s="25" t="n">
        <f aca="false">(2*'IR Calculator'!$C$5*'IR Calculator'!$C$6^2/((('IR Calculator'!C14+(499-0.5)*('IR Calculator'!C15-'IR Calculator'!C14)/MIN('IR Calculator'!C16,500))*0.000001)^5))/(EXP(MIN('IR Calculator'!$C$5*'IR Calculator'!$C$6/((('IR Calculator'!C14+(499-0.5)*('IR Calculator'!C15-'IR Calculator'!C14)/MIN('IR Calculator'!C16,500))*0.000001)*'IR Calculator'!$C$7*'IR Calculator'!$C$19),700))-1)*0.000001</f>
        <v>41.1512046771317</v>
      </c>
    </row>
    <row r="510" customFormat="false" ht="12.75" hidden="false" customHeight="true" outlineLevel="0" collapsed="false">
      <c r="B510" s="26" t="n">
        <v>500</v>
      </c>
      <c r="C510" s="27" t="n">
        <f aca="false">'IR Calculator'!C14+(500-0.5)*('IR Calculator'!C15-'IR Calculator'!C14)/MIN('IR Calculator'!C16,500)</f>
        <v>9.998</v>
      </c>
      <c r="D510" s="28" t="n">
        <f aca="false">('IR Calculator'!C15-'IR Calculator'!C14)/MIN('IR Calculator'!C16,500)</f>
        <v>0.004</v>
      </c>
      <c r="E510" s="29" t="n">
        <f aca="false">(2*'IR Calculator'!$C$5*'IR Calculator'!$C$6^2/((('IR Calculator'!C14+(500-0.5)*('IR Calculator'!C15-'IR Calculator'!C14)/MIN('IR Calculator'!C16,500))*0.000001)^5))/(EXP(MIN('IR Calculator'!$C$5*'IR Calculator'!$C$6/((('IR Calculator'!C14+(500-0.5)*('IR Calculator'!C15-'IR Calculator'!C14)/MIN('IR Calculator'!C16,500))*0.000001)*'IR Calculator'!$C$7*'IR Calculator'!$C$19),700))-1)*0.000001</f>
        <v>41.1268204457951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</cols>
  <sheetData>
    <row r="1" customFormat="false" ht="24" hidden="false" customHeight="true" outlineLevel="0" collapsed="false">
      <c r="B1" s="19" t="s">
        <v>57</v>
      </c>
      <c r="C1" s="19"/>
      <c r="D1" s="19"/>
      <c r="E1" s="19"/>
      <c r="F1" s="19"/>
    </row>
    <row r="3" customFormat="false" ht="18" hidden="false" customHeight="true" outlineLevel="0" collapsed="false">
      <c r="B3" s="30" t="s">
        <v>58</v>
      </c>
      <c r="C3" s="30" t="s">
        <v>59</v>
      </c>
      <c r="D3" s="31" t="s">
        <v>60</v>
      </c>
      <c r="E3" s="31" t="s">
        <v>61</v>
      </c>
      <c r="F3" s="31" t="s">
        <v>62</v>
      </c>
    </row>
    <row r="4" customFormat="false" ht="18" hidden="false" customHeight="true" outlineLevel="0" collapsed="false">
      <c r="B4" s="7" t="s">
        <v>63</v>
      </c>
      <c r="C4" s="32" t="n">
        <v>150</v>
      </c>
      <c r="D4" s="33" t="n">
        <v>200</v>
      </c>
      <c r="E4" s="33" t="n">
        <v>100</v>
      </c>
      <c r="F4" s="33" t="n">
        <v>250</v>
      </c>
    </row>
    <row r="5" customFormat="false" ht="18" hidden="false" customHeight="true" outlineLevel="0" collapsed="false">
      <c r="B5" s="7" t="s">
        <v>64</v>
      </c>
      <c r="C5" s="32" t="n">
        <v>0.117</v>
      </c>
      <c r="D5" s="33" t="n">
        <v>0.047</v>
      </c>
      <c r="E5" s="33" t="n">
        <v>0.2</v>
      </c>
      <c r="F5" s="33" t="n">
        <v>0.03</v>
      </c>
    </row>
    <row r="6" customFormat="false" ht="18" hidden="false" customHeight="true" outlineLevel="0" collapsed="false">
      <c r="B6" s="7" t="s">
        <v>65</v>
      </c>
      <c r="C6" s="32" t="n">
        <v>0.96</v>
      </c>
      <c r="D6" s="33" t="n">
        <v>0.96</v>
      </c>
      <c r="E6" s="33" t="n">
        <v>0.9</v>
      </c>
      <c r="F6" s="33" t="n">
        <v>0.15</v>
      </c>
    </row>
    <row r="7" customFormat="false" ht="18" hidden="false" customHeight="true" outlineLevel="0" collapsed="false">
      <c r="B7" s="7" t="s">
        <v>66</v>
      </c>
      <c r="C7" s="32" t="n">
        <v>8</v>
      </c>
      <c r="D7" s="33" t="n">
        <v>8</v>
      </c>
      <c r="E7" s="33" t="n">
        <v>8</v>
      </c>
      <c r="F7" s="33" t="n">
        <v>8</v>
      </c>
    </row>
    <row r="8" customFormat="false" ht="18" hidden="false" customHeight="true" outlineLevel="0" collapsed="false">
      <c r="B8" s="7" t="s">
        <v>67</v>
      </c>
      <c r="C8" s="32" t="n">
        <v>10</v>
      </c>
      <c r="D8" s="33" t="n">
        <v>10</v>
      </c>
      <c r="E8" s="33" t="n">
        <v>10</v>
      </c>
      <c r="F8" s="33" t="n">
        <v>10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30" t="s">
        <v>68</v>
      </c>
      <c r="C10" s="30" t="s">
        <v>59</v>
      </c>
      <c r="D10" s="31" t="s">
        <v>60</v>
      </c>
      <c r="E10" s="31" t="s">
        <v>61</v>
      </c>
      <c r="F10" s="31" t="s">
        <v>62</v>
      </c>
    </row>
    <row r="11" customFormat="false" ht="18" hidden="false" customHeight="true" outlineLevel="0" collapsed="false">
      <c r="B11" s="11" t="s">
        <v>69</v>
      </c>
      <c r="C11" s="12" t="n">
        <f aca="false">C4+273.15</f>
        <v>423.15</v>
      </c>
      <c r="D11" s="34" t="n">
        <f aca="false">D4+273.15</f>
        <v>473.15</v>
      </c>
      <c r="E11" s="34" t="n">
        <f aca="false">E4+273.15</f>
        <v>373.15</v>
      </c>
      <c r="F11" s="34" t="n">
        <f aca="false">F4+273.15</f>
        <v>523.15</v>
      </c>
    </row>
    <row r="12" customFormat="false" ht="18" hidden="false" customHeight="true" outlineLevel="0" collapsed="false">
      <c r="B12" s="11" t="s">
        <v>70</v>
      </c>
      <c r="C12" s="12" t="n">
        <f aca="false">2897.8/(C4+273.15)</f>
        <v>6.84816259009808</v>
      </c>
      <c r="D12" s="34" t="n">
        <f aca="false">2897.8/(D4+273.15)</f>
        <v>6.12448483567579</v>
      </c>
      <c r="E12" s="34" t="n">
        <f aca="false">2897.8/(E4+273.15)</f>
        <v>7.76577783733083</v>
      </c>
      <c r="F12" s="34" t="n">
        <f aca="false">2897.8/(F4+273.15)</f>
        <v>5.53913791455606</v>
      </c>
    </row>
    <row r="13" customFormat="false" ht="18" hidden="false" customHeight="true" outlineLevel="0" collapsed="false">
      <c r="B13" s="11" t="s">
        <v>71</v>
      </c>
      <c r="C13" s="15" t="n">
        <f aca="false">C6*'IR Calculator'!$C$8*(C4+273.15)^4*C5</f>
        <v>204.195521276064</v>
      </c>
      <c r="D13" s="35" t="n">
        <f aca="false">D6*'IR Calculator'!$C$8*(D4+273.15)^4*D5</f>
        <v>128.226032658217</v>
      </c>
      <c r="E13" s="35" t="n">
        <f aca="false">E6*'IR Calculator'!$C$8*(E4+273.15)^4*E5</f>
        <v>197.887346740512</v>
      </c>
      <c r="F13" s="35" t="n">
        <f aca="false">F6*'IR Calculator'!$C$8*(F4+273.15)^4*F5</f>
        <v>19.1130136085369</v>
      </c>
    </row>
    <row r="14" customFormat="false" ht="18" hidden="false" customHeight="true" outlineLevel="0" collapsed="false">
      <c r="B14" s="11" t="s">
        <v>72</v>
      </c>
      <c r="C14" s="15" t="n">
        <f aca="true">C6*C5*PI()*SUMPRODUCT(((C8-C7)/200)*((2*'IR Calculator'!$C$5*'IR Calculator'!$C$6^2/(((C7+(ROW(INDIRECT("1:200"))-0.5)*((C8-C7)/200))*0.000001)^5)/(EXP(MIN('IR Calculator'!$C$5*'IR Calculator'!$C$6/(((C7+(ROW(INDIRECT("1:200"))-0.5)*((C8-C7)/200))*0.000001)*'IR Calculator'!$C$7*(C4+273.15)),700))-1)*0.000001)))*0.000001</f>
        <v>5.21873052319373E-005</v>
      </c>
      <c r="D14" s="35" t="n">
        <f aca="true">D6*D5*PI()*SUMPRODUCT(((D8-D7)/200)*((2*'IR Calculator'!$C$5*'IR Calculator'!$C$6^2/(((D7+(ROW(INDIRECT("1:200"))-0.5)*((D8-D7)/200))*0.000001)^5)/(EXP(MIN('IR Calculator'!$C$5*'IR Calculator'!$C$6/(((D7+(ROW(INDIRECT("1:200"))-0.5)*((D8-D7)/200))*0.000001)*'IR Calculator'!$C$7*(D4+273.15)),700))-1)*0.000001)))*0.000001</f>
        <v>3.04876815150338E-005</v>
      </c>
      <c r="E14" s="35" t="n">
        <f aca="true">E6*E5*PI()*SUMPRODUCT(((E8-E7)/200)*((2*'IR Calculator'!$C$5*'IR Calculator'!$C$6^2/(((E7+(ROW(INDIRECT("1:200"))-0.5)*((E8-E7)/200))*0.000001)^5)/(EXP(MIN('IR Calculator'!$C$5*'IR Calculator'!$C$6/(((E7+(ROW(INDIRECT("1:200"))-0.5)*((E8-E7)/200))*0.000001)*'IR Calculator'!$C$7*(E4+273.15)),700))-1)*0.000001)))*0.000001</f>
        <v>5.23566191935775E-005</v>
      </c>
      <c r="F14" s="35" t="n">
        <f aca="true">F6*F5*PI()*SUMPRODUCT(((F8-F7)/200)*((2*'IR Calculator'!$C$5*'IR Calculator'!$C$6^2/(((F7+(ROW(INDIRECT("1:200"))-0.5)*((F8-F7)/200))*0.000001)^5)/(EXP(MIN('IR Calculator'!$C$5*'IR Calculator'!$C$6/(((F7+(ROW(INDIRECT("1:200"))-0.5)*((F8-F7)/200))*0.000001)*'IR Calculator'!$C$7*(F4+273.15)),700))-1)*0.000001)))*0.000001</f>
        <v>4.13672521990545E-006</v>
      </c>
    </row>
    <row r="15" customFormat="false" ht="18" hidden="false" customHeight="true" outlineLevel="0" collapsed="false">
      <c r="B15" s="11" t="s">
        <v>39</v>
      </c>
      <c r="C15" s="16" t="n">
        <f aca="false">C14/C13</f>
        <v>2.55575170825526E-007</v>
      </c>
      <c r="D15" s="36" t="n">
        <f aca="false">D14/D13</f>
        <v>2.37765147084428E-007</v>
      </c>
      <c r="E15" s="36" t="n">
        <f aca="false">E14/E13</f>
        <v>2.64577902811706E-007</v>
      </c>
      <c r="F15" s="36" t="n">
        <f aca="false">F14/F13</f>
        <v>2.1643500625447E-007</v>
      </c>
    </row>
    <row r="16" customFormat="false" ht="18" hidden="false" customHeight="true" outlineLevel="0" collapsed="false">
      <c r="B16" s="11" t="s">
        <v>51</v>
      </c>
      <c r="C16" s="15" t="n">
        <f aca="false">C14/C5</f>
        <v>0.000446045343862712</v>
      </c>
      <c r="D16" s="35" t="n">
        <f aca="false">D14/D5</f>
        <v>0.000648674074787953</v>
      </c>
      <c r="E16" s="35" t="n">
        <f aca="false">E14/E5</f>
        <v>0.000261783095967888</v>
      </c>
      <c r="F16" s="35" t="n">
        <f aca="false">F14/F5</f>
        <v>0.000137890840663515</v>
      </c>
    </row>
    <row r="19" customFormat="false" ht="18" hidden="false" customHeight="true" outlineLevel="0" collapsed="false">
      <c r="B19" s="2" t="s">
        <v>73</v>
      </c>
      <c r="C19" s="2"/>
      <c r="D19" s="2"/>
      <c r="E19" s="2"/>
      <c r="F19" s="2"/>
    </row>
    <row r="20" customFormat="false" ht="15.75" hidden="false" customHeight="true" outlineLevel="0" collapsed="false">
      <c r="B20" s="37" t="s">
        <v>74</v>
      </c>
      <c r="C20" s="37"/>
      <c r="D20" s="37"/>
      <c r="E20" s="38" t="s">
        <v>75</v>
      </c>
      <c r="F20" s="38"/>
    </row>
    <row r="21" customFormat="false" ht="15.75" hidden="false" customHeight="true" outlineLevel="0" collapsed="false">
      <c r="B21" s="39" t="s">
        <v>76</v>
      </c>
      <c r="C21" s="39"/>
      <c r="D21" s="39"/>
      <c r="E21" s="40" t="s">
        <v>77</v>
      </c>
      <c r="F21" s="40"/>
    </row>
    <row r="22" customFormat="false" ht="15.75" hidden="false" customHeight="true" outlineLevel="0" collapsed="false">
      <c r="B22" s="37" t="s">
        <v>78</v>
      </c>
      <c r="C22" s="37"/>
      <c r="D22" s="37"/>
      <c r="E22" s="38" t="s">
        <v>79</v>
      </c>
      <c r="F22" s="38"/>
    </row>
    <row r="23" customFormat="false" ht="15.75" hidden="false" customHeight="true" outlineLevel="0" collapsed="false">
      <c r="B23" s="39" t="s">
        <v>80</v>
      </c>
      <c r="C23" s="39"/>
      <c r="D23" s="39"/>
      <c r="E23" s="40" t="s">
        <v>81</v>
      </c>
      <c r="F23" s="40"/>
    </row>
    <row r="24" customFormat="false" ht="15.75" hidden="false" customHeight="true" outlineLevel="0" collapsed="false">
      <c r="B24" s="37" t="s">
        <v>82</v>
      </c>
      <c r="C24" s="37"/>
      <c r="D24" s="37"/>
      <c r="E24" s="38" t="s">
        <v>79</v>
      </c>
      <c r="F24" s="38"/>
    </row>
    <row r="25" customFormat="false" ht="15.75" hidden="false" customHeight="true" outlineLevel="0" collapsed="false">
      <c r="B25" s="39" t="s">
        <v>83</v>
      </c>
      <c r="C25" s="39"/>
      <c r="D25" s="39"/>
      <c r="E25" s="40" t="s">
        <v>84</v>
      </c>
      <c r="F25" s="40"/>
    </row>
    <row r="26" customFormat="false" ht="15.75" hidden="false" customHeight="true" outlineLevel="0" collapsed="false">
      <c r="B26" s="37" t="s">
        <v>85</v>
      </c>
      <c r="C26" s="37"/>
      <c r="D26" s="37"/>
      <c r="E26" s="38" t="s">
        <v>86</v>
      </c>
      <c r="F26" s="38"/>
    </row>
    <row r="27" customFormat="false" ht="15.75" hidden="false" customHeight="true" outlineLevel="0" collapsed="false">
      <c r="B27" s="39" t="s">
        <v>87</v>
      </c>
      <c r="C27" s="39"/>
      <c r="D27" s="39"/>
      <c r="E27" s="40" t="s">
        <v>88</v>
      </c>
      <c r="F27" s="40"/>
    </row>
  </sheetData>
  <mergeCells count="18">
    <mergeCell ref="B1:F1"/>
    <mergeCell ref="B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2026-06-03T20:12:04Z</dcterms:created>
  <dc:creator>openpyxl</dc:creator>
  <dc:description/>
  <dc:language>en-US</dc:language>
  <cp:lastModifiedBy/>
  <dcterms:modified xsi:type="dcterms:W3CDTF">2026-06-03T20:12:04Z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